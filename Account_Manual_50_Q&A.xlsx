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G:\"/>
    </mc:Choice>
  </mc:AlternateContent>
  <xr:revisionPtr revIDLastSave="0" documentId="8_{4CAB5EFD-776A-41CB-91DB-6258C2184429}" xr6:coauthVersionLast="47" xr6:coauthVersionMax="47" xr10:uidLastSave="{00000000-0000-0000-0000-000000000000}"/>
  <bookViews>
    <workbookView xWindow="-108" yWindow="-108" windowWidth="23256" windowHeight="12576" xr2:uid="{0EC540BB-CD0D-4F83-AF76-3CD6B4E582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 l="1"/>
  <c r="M4" i="1"/>
  <c r="M5" i="1"/>
  <c r="K4" i="1"/>
  <c r="K5" i="1"/>
  <c r="I4" i="1"/>
  <c r="I5" i="1"/>
  <c r="G5" i="1"/>
</calcChain>
</file>

<file path=xl/sharedStrings.xml><?xml version="1.0" encoding="utf-8"?>
<sst xmlns="http://schemas.openxmlformats.org/spreadsheetml/2006/main" count="130" uniqueCount="130">
  <si>
    <t>Which Article of the Constitution of India provides for the maintenance of Government Accounts?</t>
  </si>
  <si>
    <t>Article 150 of the Constitution of India.</t>
  </si>
  <si>
    <t>21,23,123</t>
  </si>
  <si>
    <t>From when was the C&amp;AG relieved of the responsibility of compiling the accounts of Central Ministries/Departments, and for which accounts does the C&amp;AG still remain responsible?</t>
  </si>
  <si>
    <t>From 1 March 1976 (first amendment to the C&amp;AG's (DPC) Act, 1971). The C&amp;AG continues to compile only the accounts of the Indian Audit and Accounts Department and the UT Administration of Chandigarh.</t>
  </si>
  <si>
    <t>37,36</t>
  </si>
  <si>
    <t>On what basis are the Government of India accounts maintained – cash or accrual?</t>
  </si>
  <si>
    <t>On a cash basis, representing actual cash receipts and disbursements during a financial year; some accrual/modified-accrual statements (e.g., total liabilities, contingent liabilities, financial assets) are appended as disclosures.</t>
  </si>
  <si>
    <t>38,330,</t>
  </si>
  <si>
    <t>330,36,23</t>
  </si>
  <si>
    <t>Who is the Chief Accounting Authority (CAA) of each Ministry/Department and under which rule of GFR 2017?</t>
  </si>
  <si>
    <t>The Secretary of the Ministry/Department, in terms of Rule 70 of GFR 2017.</t>
  </si>
  <si>
    <t>46,38,40</t>
  </si>
  <si>
    <t>What does Rule 86(4) of GFR 2017 require regarding Detailed Demands for Grants (DDG) on PFMS?</t>
  </si>
  <si>
    <t>The DDG, as approved, must be uploaded on PFMS at the start of each financial year.</t>
  </si>
  <si>
    <t>What is the 'pre-check function' in the PAO?</t>
  </si>
  <si>
    <t>It is a pre-audit in which individual transactions are examined for propriety and accuracy before payment is authorised; no payment is made until the PAO approves the voucher after examining all supporting documents.</t>
  </si>
  <si>
    <t>51,58,89</t>
  </si>
  <si>
    <t>What are the three essential conditions the PAO must see are met for expenditure from the Consolidated Fund of India?</t>
  </si>
  <si>
    <t>(i) Provision of funds authorised by competent authority fixing the limits of expenditure; (ii) expenditure conforms to the relevant Act/Law/Rule and financial rules; (iii) a special or general sanction of the competent authority exists.</t>
  </si>
  <si>
    <t>70,409,64</t>
  </si>
  <si>
    <t>Which office is the nodal point under the departmentalised accounting set-up for PFMS registration and user creation of PAOs, AAOs and Dealing Hands?</t>
  </si>
  <si>
    <t>The Principal Accounts Office – it registers on PFMS (subject to PFMS HQ approval) and processes registration of PAO, AAO and DH users.</t>
  </si>
  <si>
    <t>52,54,41</t>
  </si>
  <si>
    <t>Which register (Form) is used by a PAO not processing bills in PFMS to ensure a bill is covered by budget allotment?</t>
  </si>
  <si>
    <t>DDO-wise Bill Passing-cum-Expenditure Control Register' in Form CAM-9.</t>
  </si>
  <si>
    <t>483,52,54</t>
  </si>
  <si>
    <t>Within what period should pay-fixation orders issued on account of MACP/ACP/promotion/increment be audited?</t>
  </si>
  <si>
    <t>Within 3 months of issue of the orders (by internal audit and/or PAO). Audit of previous pay-fixation orders is done on priority where the employee is due to retire within the next 4 years.</t>
  </si>
  <si>
    <t>75,445,73</t>
  </si>
  <si>
    <t>While checking contracts and agreements, on whose behalf should the contract be signed?</t>
  </si>
  <si>
    <t>It must be signed for and on behalf of the President of India (by a competent authority).</t>
  </si>
  <si>
    <t>88,87</t>
  </si>
  <si>
    <t>Name any two categories of bills that Cheque Drawing DDOs are permitted to pay.</t>
  </si>
  <si>
    <t>Any two of: pay &amp; allowances/wages/advances and final medical bills (incl. NPS Govt. contribution); travel expenses incl. TA &amp; LTC advances; office contingencies under Rule 8 of DFPR (Amendment) Rules 2022; advances (not withdrawals) from provident funds; short-term loans/advances recoverable in less than 60 instalments.</t>
  </si>
  <si>
    <t>What happens to the unspent assignment (Letter of Credit) of the last quarter of the financial year?</t>
  </si>
  <si>
    <t>It is not carried forward to the next year.</t>
  </si>
  <si>
    <t>Whose prior permission is required when a new branch is to be identified as Focal Point Branch or when the existing FPB is changed?</t>
  </si>
  <si>
    <t>Prior permission of RBI, DGBA, Central Office (a new bank for a Ministry needs prior approval of both CGA and RBI).</t>
  </si>
  <si>
    <t>What are the agency commission rates payable by RBI to banks (w.e.f. 1/7/2019) for physical receipts, e-mode receipts, pension payments and other payments?</t>
  </si>
  <si>
    <t>Physical receipts ₹40 per transaction; e-mode receipts ₹9 per transaction; pension payments ₹75 per transaction; payments other than pension ₹6.50 per ₹100 turnover.</t>
  </si>
  <si>
    <t>Who prepares a consolidated monthly account for the Union Government at the end of every month?</t>
  </si>
  <si>
    <t>Office of CGA prepares a consolidated monthly account at the end of every month along with a statement of Revenue and Expenditure for the Union Government.</t>
  </si>
  <si>
    <t>At what level are the Appropriation Accounts and the Finance Accounts prepared?</t>
  </si>
  <si>
    <t>Appropriation Accounts – at Sub-Head level; Finance Accounts – at Minor Head level.</t>
  </si>
  <si>
    <t>How is a time-barred cheque classified in the accounts when a fresh cheque is issued in its place?</t>
  </si>
  <si>
    <t>As (–) credit below the head 8670-Cheques &amp; Bills – PAO Cheques; the cancelled cheque is treated as a voucher/sub-voucher for issuing the fresh cheque.</t>
  </si>
  <si>
    <t>By what date must the consolidated monthly accounts from each Principal Accounts Office be furnished to the Office of CGA?</t>
  </si>
  <si>
    <t>By the 8th of the following month.</t>
  </si>
  <si>
    <t>159,319,50</t>
  </si>
  <si>
    <t>How often must a physical verification of GPF nominations be conducted?</t>
  </si>
  <si>
    <t>At least once in 3 years, with a record kept under attestation of the officer-in-charge in the General Index Register.</t>
  </si>
  <si>
    <t>How are PF balances settled (manual system) when a subscriber transfers from one PAO to another?</t>
  </si>
  <si>
    <t>By issue of a Category 'C' cheque marked 'Government Account – Not payable in cash', drawn in favour of the receiving PAO by (–) crediting Major Head 8009-State Provident Funds.</t>
  </si>
  <si>
    <t>How far ahead must the Head of Department prepare the list of Government servants due to retire?</t>
  </si>
  <si>
    <t>A list of all Government servants retiring within the next fifteen months is prepared by the 15th day of every month.</t>
  </si>
  <si>
    <t>When does the Head of Office start preparation of pension papers in Form 7 under CCS (Pension) Rules, 2021?</t>
  </si>
  <si>
    <t>One year before the date of superannuation.</t>
  </si>
  <si>
    <t>How many months before retirement must the retiring employee's completed Form 6 (with undertaking) reach the Head of Office?</t>
  </si>
  <si>
    <t>Not later than six months prior to the date of retirement.</t>
  </si>
  <si>
    <t>Under which Article of the Constitution are pension charges for retired High Court Judges borne by the respective State Governments?</t>
  </si>
  <si>
    <t>Article 290 of the Constitution of India.</t>
  </si>
  <si>
    <t>212,95</t>
  </si>
  <si>
    <t>Within how many days should a PAO reimburse the full amount claimed by another PAO for services rendered when the accounts prima facie appear adjustable?</t>
  </si>
  <si>
    <t>Within 7 days of receipt of the account (without waiting for detailed audit).</t>
  </si>
  <si>
    <t>For maintenance of National Highways by State PWDs, under which head does the State AG initially adjust the expenditure?</t>
  </si>
  <si>
    <t>Head 8658-Suspense Accounts.</t>
  </si>
  <si>
    <t>Which register is maintained by the PAO for watching recoveries of leave-salary and pension contributions of Government servants on foreign service?</t>
  </si>
  <si>
    <t>Register in Form CAM-58.</t>
  </si>
  <si>
    <t>When a Central Govt. employee with an outstanding HBA/CA is transferred to another Ministry, how is the balance settled?</t>
  </si>
  <si>
    <t>By Category 'C' cheque from the new PAO to the former PAO; booked as minus credit (not debit) to Major/Minor Head 7610-Loans to Govt. Servants – HBA/CA with contra credit to 8670-Cheques and Bills, PAO Cheques.</t>
  </si>
  <si>
    <t>What limit applies to the quantum of a permanent advance (imprest)?</t>
  </si>
  <si>
    <t>It should not, as a rule, exceed the monthly average of contingent expenditure of the preceding twelve months.</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</si>
  <si>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</si>
  <si>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</si>
  <si>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Who approves and signs the Head-wise Appropriation Accounts of grants administered by a Ministry/Department?</t>
  </si>
  <si>
    <t>The Secretary of the Ministry/Department as Chief Accounting Authority, assisted by the FA and Head of Accounting Organisation.</t>
  </si>
  <si>
    <t>298,40,39</t>
  </si>
  <si>
    <t>Into how many parts is the Finance Accounts divided?</t>
  </si>
  <si>
    <t>Two parts – Part I (summarised statements) and Part II (detailed statements); Part II has Section 'A' (Receipts &amp; Expenditure on Revenue/Capital account).</t>
  </si>
  <si>
    <t>In what unit are the figures in SCT and Journal Entries indicated?</t>
  </si>
  <si>
    <t>In thousands of rupees; Journal Entries in Form CAM-34, signed by the Head of Accounting Organisation and needing CGA approval.</t>
  </si>
  <si>
    <t>What prefixes do daily scrolls carry for payments and receipts?</t>
  </si>
  <si>
    <t>DMA(E) for payments and DMA(R) for receipts; the FPB sends the PAO-wise Main Scroll on T+1 day, and the PAO returns the certified copy within one working day.</t>
  </si>
  <si>
    <t>When was GST rolled out, and up to what amount per challan per tax period ?</t>
  </si>
  <si>
    <t>GST was rolled out on 1 July 2017 (8 July 2017 for J&amp;K); OTC payment is allowed up to ₹10,000 per challan per tax period (cash, cheque or DD).</t>
  </si>
  <si>
    <t>Who disburses GST refunds, and how is SGST/UTGST refund recovered from States?</t>
  </si>
  <si>
    <t>A single authority – the Centre (one PAO of the Centre) disburses all refunds; SGST/UTGST refunds are recovered from States/UTs at the time of IGST settlement.</t>
  </si>
  <si>
    <t>What is the difference between CRN and CIN under TIN 2.0?</t>
  </si>
  <si>
    <t>CRN is a 14-digit auto-generated Challan Reference No. (intent to pay, valid 15 days); CIN is an 18-character Challan Identification No. (CRN + first 4 characters of bank's IFSC) generated by the bank/RBI after payment.</t>
  </si>
  <si>
    <t>From when did TIN 2.0–PRAKALP run on a pilot basis?</t>
  </si>
  <si>
    <t>Pilot from 01.07.2022; replaced OLTAS completely on 01.04.2023.</t>
  </si>
  <si>
    <t>Are chargebacks allowed on direct tax payments made through cards?</t>
  </si>
  <si>
    <t>No – Government does not entertain chargeback on card tax payments; the only refund mode is by filing an Income Tax Return.</t>
  </si>
  <si>
    <t>Which portal is used for online collection of non-tax revenues?</t>
  </si>
  <si>
    <t>Non-Tax Receipt Portal (Bharatkosh.gov.in) in PFMS.</t>
  </si>
  <si>
    <t>What is the purpose of the e-FPB Receipt Account opened by a PAO?</t>
  </si>
  <si>
    <t>It is used for depositing non-tax receipts collected through Bharatkosh by payment gateway/aggregator in the e-Focal Point Branch.</t>
  </si>
  <si>
    <t>331,336,52</t>
  </si>
  <si>
    <t>Who heads the IA Committee of a Ministry/Department, and who is its member secretary (Chief Audit Executive)?</t>
  </si>
  <si>
    <t>The Secretary of the Department heads the IA Committee; the Head of Accounting Organisation (Pr.CCA/CCA/CA(i/c)) is the Chief Audit Executive and member secretary.</t>
  </si>
  <si>
    <t>When does the Budget Division usually issue the Budget Circular, and when are pre-budget discussions usually held?</t>
  </si>
  <si>
    <t>Budget Circular in the first week of September; pre-budget discussions in October–November.</t>
  </si>
  <si>
    <t>422,43,63</t>
  </si>
  <si>
    <t>What are the three categories of Supplementary Demands for Grants and what is the token amount sought in Token Supplementary?</t>
  </si>
  <si>
    <t>Cash, Token and Technical Supplementary; Token Supplementary is ₹0.01 crore (₹1 lakh) when NS/NIS limits require Parliament's approval for re-appropriation within the same section.</t>
  </si>
  <si>
    <t>Who prepares the "Due and Drawn Statement" for arrears of pay and allowances after the issue of LPC?</t>
  </si>
  <si>
    <t>The DDO of the present office of the Government servant prepares the "Due and Drawn Statement" for the arrears of pay and allowances.</t>
  </si>
  <si>
    <t>Under which head are lapsed deposits transferred, and what sub-head is used when they are refunded?</t>
  </si>
  <si>
    <t>Transferred to Major Head 0075-Miscellaneous General Services – 101 Unclaimed Deposits; refunds are shown under sub-head 'Deduct-Refund' below the same head.</t>
  </si>
  <si>
    <t>What is a Personal Deposit (PD) Account and who can administer it?</t>
  </si>
  <si>
    <t>An account authorised (with CGA approval) in the Public Account portion of Government account in an accredited bank, letting the administrator credit receipts and withdraw directly, with the bank ensuring no minus balance. Administrators must be Government officers.</t>
  </si>
  <si>
    <t>How often must the PAO reconcile receipts and payments of a PD Account?</t>
  </si>
  <si>
    <t>Monthly, against the bank scrolls and the monthly statement submitted by the PD Account holder (with an Abstract of the Register of Receipts &amp; Payments – Appendix 19.1).</t>
  </si>
  <si>
    <t>How far back may a PAO re-audit bills where erroneous payments were admitted through oversight?</t>
  </si>
  <si>
    <t>Not more than one year before the day of discovery on his own; the facts must be reported to Government, and re-audit is done only if Government so desires.</t>
  </si>
  <si>
    <t>445,63,79</t>
  </si>
  <si>
    <t>S.No.</t>
  </si>
  <si>
    <t>Question</t>
  </si>
  <si>
    <t>Answer</t>
  </si>
  <si>
    <t xml:space="preserve">Page </t>
  </si>
  <si>
    <t>Predicted Page</t>
  </si>
  <si>
    <t>Relevant pages</t>
  </si>
  <si>
    <t>Precision@3</t>
  </si>
  <si>
    <t>Correct page found in top 3</t>
  </si>
  <si>
    <t>Recall@3</t>
  </si>
  <si>
    <t>Top 1 page found</t>
  </si>
  <si>
    <t>Top 1 page accuracy</t>
  </si>
  <si>
    <t xml:space="preserve">Correct page rank </t>
  </si>
  <si>
    <t>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</si>
</sst>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10"/>
      <name val="Arial"/>
    </font>
    <font>
      <sz val="10"/>
      <name val="Arial"/>
      <family val="2"/>
    </font>
  </fonts>
  <fills count="3">
    <fill>
      <patternFill patternType="none"/>
    </fill>
    <fill>
      <patternFill patternType="gray125"/>
    </fill>
    <fill>
      <patternFill patternType="solid">
        <fgColor theme="4"/>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top" wrapText="1"/>
    </xf>
    <xf numFmtId="3" fontId="0" fillId="0" borderId="0" xfId="0" applyNumberFormat="1"/>
    <xf numFmtId="0" fontId="2" fillId="0" borderId="2" xfId="0" applyFont="1" applyBorder="1" applyAlignment="1">
      <alignment horizontal="left" vertical="top" wrapText="1"/>
    </xf>
    <xf numFmtId="3" fontId="2" fillId="0" borderId="1" xfId="0" applyNumberFormat="1" applyFont="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3" fontId="2" fillId="0" borderId="2" xfId="0" applyNumberFormat="1" applyFont="1" applyBorder="1" applyAlignment="1">
      <alignment horizontal="left" vertical="top" wrapText="1"/>
    </xf>
    <xf numFmtId="0" fontId="1" fillId="2" borderId="0" xfId="0" applyFont="1" applyFill="1"/>
    <xf numFmtId="0" fontId="2" fillId="0" borderId="1" xfId="0" applyFont="1" applyBorder="1" applyAlignment="1">
      <alignment horizontal="left" vertical="top"/>
    </xf>
    <xf numFmtId="0" fontId="3" fillId="0" borderId="1" xfId="0" applyFont="1" applyBorder="1" applyAlignment="1">
      <alignment horizontal="left" vertical="top"/>
    </xf>
    <xf numFmtId="0" fontId="3" fillId="0" borderId="1" xfId="0" quotePrefix="1" applyFont="1" applyBorder="1" applyAlignment="1">
      <alignment horizontal="left" vertical="top"/>
    </xf>
    <xf numFmtId="0" fontId="0" fillId="0" borderId="0" xfId="0" applyAlignment="1"/>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F437-A79F-4BB6-9C7B-4E2E71955A12}">
  <dimension ref="A4:M56"/>
  <sheetViews>
    <sheetView tabSelected="1" workbookViewId="0">
      <selection activeCell="Q7" sqref="Q7"/>
    </sheetView>
  </sheetViews>
  <sheetFormatPr defaultRowHeight="14.4" x14ac:dyDescent="0.3"/>
  <cols>
    <col min="1" max="1" width="5.44140625" bestFit="1" customWidth="1"/>
    <col min="3" max="3" width="12.44140625" bestFit="1" customWidth="1"/>
    <col min="4" max="4" width="7.109375" bestFit="1" customWidth="1"/>
    <col min="5" max="5" width="13.109375" bestFit="1" customWidth="1"/>
    <col min="6" max="6" width="13.33203125" bestFit="1" customWidth="1"/>
    <col min="7" max="7" width="11.109375" bestFit="1" customWidth="1"/>
    <col min="8" max="8" width="23.5546875" bestFit="1" customWidth="1"/>
    <col min="9" max="9" width="8.6640625" bestFit="1" customWidth="1"/>
    <col min="10" max="10" width="15.21875" bestFit="1" customWidth="1"/>
    <col min="11" max="11" width="17.77734375" bestFit="1" customWidth="1"/>
    <col min="12" max="12" width="16" bestFit="1" customWidth="1"/>
    <col min="13" max="13" width="6" bestFit="1" customWidth="1"/>
  </cols>
  <sheetData>
    <row r="4" spans="1:13" x14ac:dyDescent="0.3">
      <c r="G4">
        <f>17.75*100/50</f>
        <v>35.5</v>
      </c>
      <c r="I4">
        <f>4300/50</f>
        <v>86</v>
      </c>
      <c r="K4">
        <f>3400/50</f>
        <v>68</v>
      </c>
      <c r="M4">
        <f>38.33*100/50</f>
        <v>76.66</v>
      </c>
    </row>
    <row r="5" spans="1:13" x14ac:dyDescent="0.3">
      <c r="G5">
        <f>SUM(G7:G56)</f>
        <v>17.75</v>
      </c>
      <c r="I5">
        <f>SUM(I7:I56)</f>
        <v>4300</v>
      </c>
      <c r="K5">
        <f>SUM(K7:K56)</f>
        <v>3400</v>
      </c>
      <c r="M5">
        <f>SUM(M7:M56)</f>
        <v>38.33</v>
      </c>
    </row>
    <row r="6" spans="1:13" x14ac:dyDescent="0.3">
      <c r="A6" s="8" t="s">
        <v>117</v>
      </c>
      <c r="B6" s="8" t="s">
        <v>118</v>
      </c>
      <c r="C6" s="8" t="s">
        <v>119</v>
      </c>
      <c r="D6" s="8" t="s">
        <v>120</v>
      </c>
      <c r="E6" s="8" t="s">
        <v>121</v>
      </c>
      <c r="F6" s="8" t="s">
        <v>122</v>
      </c>
      <c r="G6" s="8" t="s">
        <v>123</v>
      </c>
      <c r="H6" s="8" t="s">
        <v>124</v>
      </c>
      <c r="I6" s="8" t="s">
        <v>125</v>
      </c>
      <c r="J6" s="8" t="s">
        <v>126</v>
      </c>
      <c r="K6" s="8" t="s">
        <v>127</v>
      </c>
      <c r="L6" s="8" t="s">
        <v>128</v>
      </c>
      <c r="M6" s="8" t="s">
        <v>129</v>
      </c>
    </row>
    <row r="7" spans="1:13" x14ac:dyDescent="0.3">
      <c r="A7" s="1">
        <v>1</v>
      </c>
      <c r="B7" s="9" t="s">
        <v>0</v>
      </c>
      <c r="C7" s="9" t="s">
        <v>1</v>
      </c>
      <c r="D7" s="1">
        <v>36</v>
      </c>
      <c r="E7" s="2" t="s">
        <v>2</v>
      </c>
      <c r="F7">
        <v>1</v>
      </c>
      <c r="G7">
        <v>0.33</v>
      </c>
      <c r="H7">
        <v>1</v>
      </c>
      <c r="I7">
        <v>100</v>
      </c>
      <c r="J7">
        <v>0</v>
      </c>
      <c r="K7">
        <v>0</v>
      </c>
      <c r="L7">
        <v>2</v>
      </c>
      <c r="M7">
        <v>0.5</v>
      </c>
    </row>
    <row r="8" spans="1:13" x14ac:dyDescent="0.3">
      <c r="A8" s="1">
        <v>2</v>
      </c>
      <c r="B8" s="9" t="s">
        <v>3</v>
      </c>
      <c r="C8" s="9" t="s">
        <v>4</v>
      </c>
      <c r="D8" s="1">
        <v>36</v>
      </c>
      <c r="E8" t="s">
        <v>5</v>
      </c>
      <c r="F8">
        <v>1</v>
      </c>
      <c r="G8">
        <v>0.5</v>
      </c>
      <c r="H8">
        <v>1</v>
      </c>
      <c r="I8">
        <v>100</v>
      </c>
      <c r="J8">
        <v>0</v>
      </c>
      <c r="K8">
        <v>0</v>
      </c>
      <c r="L8">
        <v>2</v>
      </c>
      <c r="M8">
        <v>0.5</v>
      </c>
    </row>
    <row r="9" spans="1:13" x14ac:dyDescent="0.3">
      <c r="A9" s="1">
        <v>3</v>
      </c>
      <c r="B9" s="9" t="s">
        <v>6</v>
      </c>
      <c r="C9" s="9" t="s">
        <v>7</v>
      </c>
      <c r="D9" s="1" t="s">
        <v>8</v>
      </c>
      <c r="E9" t="s">
        <v>9</v>
      </c>
      <c r="F9">
        <v>1</v>
      </c>
      <c r="G9">
        <v>0.33</v>
      </c>
      <c r="H9">
        <v>1</v>
      </c>
      <c r="I9">
        <v>100</v>
      </c>
      <c r="J9">
        <v>1</v>
      </c>
      <c r="K9">
        <v>100</v>
      </c>
      <c r="L9">
        <v>1</v>
      </c>
      <c r="M9">
        <v>1</v>
      </c>
    </row>
    <row r="10" spans="1:13" x14ac:dyDescent="0.3">
      <c r="A10" s="1">
        <v>4</v>
      </c>
      <c r="B10" s="9" t="s">
        <v>10</v>
      </c>
      <c r="C10" s="9" t="s">
        <v>11</v>
      </c>
      <c r="D10" s="1">
        <v>38</v>
      </c>
      <c r="E10" s="3" t="s">
        <v>12</v>
      </c>
      <c r="F10">
        <v>1</v>
      </c>
      <c r="G10">
        <v>0.33</v>
      </c>
      <c r="H10">
        <v>1</v>
      </c>
      <c r="I10">
        <v>100</v>
      </c>
      <c r="J10">
        <v>0</v>
      </c>
      <c r="K10">
        <v>0</v>
      </c>
      <c r="L10">
        <v>2</v>
      </c>
      <c r="M10">
        <v>0.5</v>
      </c>
    </row>
    <row r="11" spans="1:13" x14ac:dyDescent="0.3">
      <c r="A11" s="1">
        <v>5</v>
      </c>
      <c r="B11" s="9" t="s">
        <v>13</v>
      </c>
      <c r="C11" s="9" t="s">
        <v>14</v>
      </c>
      <c r="D11" s="4">
        <v>40425</v>
      </c>
      <c r="E11" s="2">
        <v>64425421</v>
      </c>
      <c r="F11">
        <v>1</v>
      </c>
      <c r="G11">
        <v>0.33</v>
      </c>
      <c r="H11">
        <v>1</v>
      </c>
      <c r="I11">
        <v>100</v>
      </c>
      <c r="J11">
        <v>0</v>
      </c>
      <c r="K11">
        <v>0</v>
      </c>
      <c r="L11">
        <v>2</v>
      </c>
      <c r="M11">
        <v>0.5</v>
      </c>
    </row>
    <row r="12" spans="1:13" x14ac:dyDescent="0.3">
      <c r="A12" s="1">
        <v>6</v>
      </c>
      <c r="B12" s="9" t="s">
        <v>15</v>
      </c>
      <c r="C12" s="9" t="s">
        <v>16</v>
      </c>
      <c r="D12" s="1">
        <v>51</v>
      </c>
      <c r="E12" s="5" t="s">
        <v>17</v>
      </c>
      <c r="F12">
        <v>1</v>
      </c>
      <c r="G12">
        <v>0.33</v>
      </c>
      <c r="H12">
        <v>1</v>
      </c>
      <c r="I12">
        <v>100</v>
      </c>
      <c r="J12">
        <v>1</v>
      </c>
      <c r="K12">
        <v>100</v>
      </c>
      <c r="L12">
        <v>1</v>
      </c>
      <c r="M12">
        <v>1</v>
      </c>
    </row>
    <row r="13" spans="1:13" x14ac:dyDescent="0.3">
      <c r="A13" s="1">
        <v>7</v>
      </c>
      <c r="B13" s="9" t="s">
        <v>18</v>
      </c>
      <c r="C13" s="9" t="s">
        <v>19</v>
      </c>
      <c r="D13" s="1">
        <v>51</v>
      </c>
      <c r="E13" s="5" t="s">
        <v>20</v>
      </c>
      <c r="F13">
        <v>0</v>
      </c>
      <c r="G13">
        <v>0</v>
      </c>
      <c r="H13">
        <v>0</v>
      </c>
      <c r="I13">
        <v>0</v>
      </c>
      <c r="J13">
        <v>0</v>
      </c>
      <c r="K13">
        <v>0</v>
      </c>
      <c r="L13">
        <v>0</v>
      </c>
      <c r="M13">
        <v>0</v>
      </c>
    </row>
    <row r="14" spans="1:13" x14ac:dyDescent="0.3">
      <c r="A14" s="1">
        <v>8</v>
      </c>
      <c r="B14" s="9" t="s">
        <v>21</v>
      </c>
      <c r="C14" s="9" t="s">
        <v>22</v>
      </c>
      <c r="D14" s="1">
        <v>52</v>
      </c>
      <c r="E14" s="6" t="s">
        <v>23</v>
      </c>
      <c r="F14">
        <v>1</v>
      </c>
      <c r="G14">
        <v>0.33</v>
      </c>
      <c r="H14">
        <v>1</v>
      </c>
      <c r="I14">
        <v>100</v>
      </c>
      <c r="J14">
        <v>1</v>
      </c>
      <c r="K14">
        <v>100</v>
      </c>
      <c r="L14">
        <v>1</v>
      </c>
      <c r="M14">
        <v>1</v>
      </c>
    </row>
    <row r="15" spans="1:13" x14ac:dyDescent="0.3">
      <c r="A15" s="1">
        <v>9</v>
      </c>
      <c r="B15" s="10" t="s">
        <v>24</v>
      </c>
      <c r="C15" s="11" t="s">
        <v>25</v>
      </c>
      <c r="D15" s="4">
        <v>62483</v>
      </c>
      <c r="E15" s="6" t="s">
        <v>26</v>
      </c>
      <c r="F15">
        <v>1</v>
      </c>
      <c r="G15">
        <v>0.33</v>
      </c>
      <c r="H15">
        <v>1</v>
      </c>
      <c r="I15">
        <v>100</v>
      </c>
      <c r="J15">
        <v>1</v>
      </c>
      <c r="K15">
        <v>100</v>
      </c>
      <c r="L15">
        <v>1</v>
      </c>
      <c r="M15">
        <v>1</v>
      </c>
    </row>
    <row r="16" spans="1:13" x14ac:dyDescent="0.3">
      <c r="A16" s="1">
        <v>10</v>
      </c>
      <c r="B16" s="10" t="s">
        <v>27</v>
      </c>
      <c r="C16" s="10" t="s">
        <v>28</v>
      </c>
      <c r="D16" s="1">
        <v>75</v>
      </c>
      <c r="E16" s="6" t="s">
        <v>29</v>
      </c>
      <c r="F16">
        <v>1</v>
      </c>
      <c r="G16">
        <v>0.33</v>
      </c>
      <c r="H16">
        <v>1</v>
      </c>
      <c r="I16">
        <v>100</v>
      </c>
      <c r="J16">
        <v>1</v>
      </c>
      <c r="K16">
        <v>100</v>
      </c>
      <c r="L16">
        <v>1</v>
      </c>
      <c r="M16">
        <v>1</v>
      </c>
    </row>
    <row r="17" spans="1:13" x14ac:dyDescent="0.3">
      <c r="A17" s="1">
        <v>11</v>
      </c>
      <c r="B17" s="9" t="s">
        <v>30</v>
      </c>
      <c r="C17" s="9" t="s">
        <v>31</v>
      </c>
      <c r="D17" s="1">
        <v>88</v>
      </c>
      <c r="E17" s="6" t="s">
        <v>32</v>
      </c>
      <c r="F17">
        <v>1</v>
      </c>
      <c r="G17">
        <v>0.5</v>
      </c>
      <c r="H17">
        <v>1</v>
      </c>
      <c r="I17">
        <v>100</v>
      </c>
      <c r="J17">
        <v>1</v>
      </c>
      <c r="K17">
        <v>100</v>
      </c>
      <c r="L17">
        <v>1</v>
      </c>
      <c r="M17">
        <v>1</v>
      </c>
    </row>
    <row r="18" spans="1:13" x14ac:dyDescent="0.3">
      <c r="A18" s="1">
        <v>12</v>
      </c>
      <c r="B18" s="9" t="s">
        <v>33</v>
      </c>
      <c r="C18" s="9" t="s">
        <v>34</v>
      </c>
      <c r="D18" s="1">
        <v>106</v>
      </c>
      <c r="E18" s="2">
        <v>115105109</v>
      </c>
      <c r="F18">
        <v>0</v>
      </c>
      <c r="G18">
        <v>0</v>
      </c>
      <c r="H18">
        <v>0</v>
      </c>
      <c r="I18">
        <v>0</v>
      </c>
      <c r="J18">
        <v>0</v>
      </c>
      <c r="K18">
        <v>0</v>
      </c>
      <c r="L18">
        <v>0</v>
      </c>
      <c r="M18">
        <v>0</v>
      </c>
    </row>
    <row r="19" spans="1:13" x14ac:dyDescent="0.3">
      <c r="A19" s="1">
        <v>13</v>
      </c>
      <c r="B19" s="9" t="s">
        <v>35</v>
      </c>
      <c r="C19" s="9" t="s">
        <v>36</v>
      </c>
      <c r="D19" s="1">
        <v>108</v>
      </c>
      <c r="E19" s="2">
        <v>108275273</v>
      </c>
      <c r="F19">
        <v>1</v>
      </c>
      <c r="G19">
        <v>0.33</v>
      </c>
      <c r="H19">
        <v>1</v>
      </c>
      <c r="I19">
        <v>100</v>
      </c>
      <c r="J19">
        <v>1</v>
      </c>
      <c r="K19">
        <v>100</v>
      </c>
      <c r="L19">
        <v>1</v>
      </c>
      <c r="M19">
        <v>1</v>
      </c>
    </row>
    <row r="20" spans="1:13" x14ac:dyDescent="0.3">
      <c r="A20" s="1">
        <v>14</v>
      </c>
      <c r="B20" s="9" t="s">
        <v>37</v>
      </c>
      <c r="C20" s="9" t="s">
        <v>38</v>
      </c>
      <c r="D20" s="1">
        <v>113</v>
      </c>
      <c r="E20" s="2">
        <v>113372152</v>
      </c>
      <c r="F20">
        <v>1</v>
      </c>
      <c r="G20">
        <v>0.33</v>
      </c>
      <c r="H20">
        <v>1</v>
      </c>
      <c r="I20">
        <v>100</v>
      </c>
      <c r="J20">
        <v>1</v>
      </c>
      <c r="K20">
        <v>100</v>
      </c>
      <c r="L20">
        <v>1</v>
      </c>
      <c r="M20">
        <v>1</v>
      </c>
    </row>
    <row r="21" spans="1:13" x14ac:dyDescent="0.3">
      <c r="A21" s="1">
        <v>15</v>
      </c>
      <c r="B21" s="9" t="s">
        <v>39</v>
      </c>
      <c r="C21" s="9" t="s">
        <v>40</v>
      </c>
      <c r="D21" s="1">
        <v>118</v>
      </c>
      <c r="E21" s="2">
        <v>118396140</v>
      </c>
      <c r="F21">
        <v>1</v>
      </c>
      <c r="G21">
        <v>0.33</v>
      </c>
      <c r="H21">
        <v>1</v>
      </c>
      <c r="I21">
        <v>100</v>
      </c>
      <c r="J21">
        <v>1</v>
      </c>
      <c r="K21">
        <v>100</v>
      </c>
      <c r="L21">
        <v>1</v>
      </c>
      <c r="M21">
        <v>1</v>
      </c>
    </row>
    <row r="22" spans="1:13" x14ac:dyDescent="0.3">
      <c r="A22" s="1">
        <v>16</v>
      </c>
      <c r="B22" s="12" t="s">
        <v>41</v>
      </c>
      <c r="C22" s="12" t="s">
        <v>42</v>
      </c>
      <c r="D22" s="1">
        <v>159</v>
      </c>
      <c r="E22" s="2">
        <v>159186</v>
      </c>
      <c r="F22">
        <v>1</v>
      </c>
      <c r="G22">
        <v>0.5</v>
      </c>
      <c r="H22">
        <v>1</v>
      </c>
      <c r="I22">
        <v>100</v>
      </c>
      <c r="J22">
        <v>1</v>
      </c>
      <c r="K22">
        <v>100</v>
      </c>
      <c r="L22">
        <v>1</v>
      </c>
      <c r="M22">
        <v>1</v>
      </c>
    </row>
    <row r="23" spans="1:13" x14ac:dyDescent="0.3">
      <c r="A23" s="1">
        <v>17</v>
      </c>
      <c r="B23" s="9" t="s">
        <v>43</v>
      </c>
      <c r="C23" s="9" t="s">
        <v>44</v>
      </c>
      <c r="D23" s="1">
        <v>159</v>
      </c>
      <c r="E23" s="2">
        <v>159319</v>
      </c>
      <c r="F23">
        <v>1</v>
      </c>
      <c r="G23">
        <v>0.5</v>
      </c>
      <c r="H23">
        <v>1</v>
      </c>
      <c r="I23">
        <v>100</v>
      </c>
      <c r="J23">
        <v>1</v>
      </c>
      <c r="K23">
        <v>100</v>
      </c>
      <c r="L23">
        <v>1</v>
      </c>
      <c r="M23">
        <v>1</v>
      </c>
    </row>
    <row r="24" spans="1:13" x14ac:dyDescent="0.3">
      <c r="A24" s="1">
        <v>18</v>
      </c>
      <c r="B24" s="9" t="s">
        <v>45</v>
      </c>
      <c r="C24" s="9" t="s">
        <v>46</v>
      </c>
      <c r="D24" s="1">
        <v>162</v>
      </c>
      <c r="E24" s="2">
        <v>161162111</v>
      </c>
      <c r="F24">
        <v>1</v>
      </c>
      <c r="G24">
        <v>0.33</v>
      </c>
      <c r="H24">
        <v>1</v>
      </c>
      <c r="I24">
        <v>100</v>
      </c>
      <c r="J24">
        <v>0</v>
      </c>
      <c r="K24">
        <v>0</v>
      </c>
      <c r="L24">
        <v>2</v>
      </c>
      <c r="M24">
        <v>0.5</v>
      </c>
    </row>
    <row r="25" spans="1:13" x14ac:dyDescent="0.3">
      <c r="A25" s="1">
        <v>19</v>
      </c>
      <c r="B25" s="9" t="s">
        <v>47</v>
      </c>
      <c r="C25" s="9" t="s">
        <v>48</v>
      </c>
      <c r="D25" s="1">
        <v>170</v>
      </c>
      <c r="E25" s="3" t="s">
        <v>49</v>
      </c>
      <c r="F25">
        <v>0</v>
      </c>
      <c r="G25">
        <v>0</v>
      </c>
      <c r="H25">
        <v>0</v>
      </c>
      <c r="I25">
        <v>0</v>
      </c>
      <c r="J25">
        <v>0</v>
      </c>
      <c r="K25">
        <v>0</v>
      </c>
      <c r="L25">
        <v>0</v>
      </c>
      <c r="M25">
        <v>0</v>
      </c>
    </row>
    <row r="26" spans="1:13" x14ac:dyDescent="0.3">
      <c r="A26" s="1">
        <v>20</v>
      </c>
      <c r="B26" s="9" t="s">
        <v>50</v>
      </c>
      <c r="C26" s="9" t="s">
        <v>51</v>
      </c>
      <c r="D26" s="1">
        <v>188</v>
      </c>
      <c r="E26" s="2">
        <v>188187247</v>
      </c>
      <c r="F26">
        <v>1</v>
      </c>
      <c r="G26">
        <v>0.33</v>
      </c>
      <c r="H26">
        <v>1</v>
      </c>
      <c r="I26">
        <v>100</v>
      </c>
      <c r="J26">
        <v>1</v>
      </c>
      <c r="K26">
        <v>100</v>
      </c>
      <c r="L26">
        <v>1</v>
      </c>
      <c r="M26">
        <v>1</v>
      </c>
    </row>
    <row r="27" spans="1:13" x14ac:dyDescent="0.3">
      <c r="A27" s="1">
        <v>21</v>
      </c>
      <c r="B27" s="9" t="s">
        <v>52</v>
      </c>
      <c r="C27" s="9" t="s">
        <v>53</v>
      </c>
      <c r="D27" s="1">
        <v>190</v>
      </c>
      <c r="E27" s="2">
        <v>195190</v>
      </c>
      <c r="F27">
        <v>1</v>
      </c>
      <c r="G27">
        <v>0.5</v>
      </c>
      <c r="H27">
        <v>1</v>
      </c>
      <c r="I27">
        <v>100</v>
      </c>
      <c r="J27">
        <v>0</v>
      </c>
      <c r="K27">
        <v>0</v>
      </c>
      <c r="L27">
        <v>2</v>
      </c>
      <c r="M27">
        <v>0.5</v>
      </c>
    </row>
    <row r="28" spans="1:13" x14ac:dyDescent="0.3">
      <c r="A28" s="1">
        <v>22</v>
      </c>
      <c r="B28" s="9" t="s">
        <v>54</v>
      </c>
      <c r="C28" s="9" t="s">
        <v>55</v>
      </c>
      <c r="D28" s="1">
        <v>200</v>
      </c>
      <c r="E28" s="2">
        <v>200201543</v>
      </c>
      <c r="F28">
        <v>1</v>
      </c>
      <c r="G28">
        <v>0.33</v>
      </c>
      <c r="H28">
        <v>1</v>
      </c>
      <c r="I28">
        <v>100</v>
      </c>
      <c r="J28">
        <v>1</v>
      </c>
      <c r="K28">
        <v>100</v>
      </c>
      <c r="L28">
        <v>1</v>
      </c>
      <c r="M28">
        <v>1</v>
      </c>
    </row>
    <row r="29" spans="1:13" x14ac:dyDescent="0.3">
      <c r="A29" s="1">
        <v>23</v>
      </c>
      <c r="B29" s="9" t="s">
        <v>56</v>
      </c>
      <c r="C29" s="9" t="s">
        <v>57</v>
      </c>
      <c r="D29" s="1">
        <v>200</v>
      </c>
      <c r="E29" s="2">
        <v>200201</v>
      </c>
      <c r="F29">
        <v>1</v>
      </c>
      <c r="G29">
        <v>0.5</v>
      </c>
      <c r="H29">
        <v>1</v>
      </c>
      <c r="I29">
        <v>100</v>
      </c>
      <c r="J29">
        <v>1</v>
      </c>
      <c r="K29">
        <v>100</v>
      </c>
      <c r="L29">
        <v>1</v>
      </c>
      <c r="M29">
        <v>1</v>
      </c>
    </row>
    <row r="30" spans="1:13" x14ac:dyDescent="0.3">
      <c r="A30" s="1">
        <v>24</v>
      </c>
      <c r="B30" s="9" t="s">
        <v>58</v>
      </c>
      <c r="C30" s="9" t="s">
        <v>59</v>
      </c>
      <c r="D30" s="1">
        <v>201</v>
      </c>
      <c r="E30" s="2">
        <v>200201</v>
      </c>
      <c r="F30">
        <v>1</v>
      </c>
      <c r="G30">
        <v>0.5</v>
      </c>
      <c r="H30">
        <v>1</v>
      </c>
      <c r="I30">
        <v>100</v>
      </c>
      <c r="J30">
        <v>0</v>
      </c>
      <c r="K30">
        <v>0</v>
      </c>
      <c r="L30">
        <v>2</v>
      </c>
      <c r="M30">
        <v>0.5</v>
      </c>
    </row>
    <row r="31" spans="1:13" x14ac:dyDescent="0.3">
      <c r="A31" s="1">
        <v>25</v>
      </c>
      <c r="B31" s="9" t="s">
        <v>60</v>
      </c>
      <c r="C31" s="9" t="s">
        <v>61</v>
      </c>
      <c r="D31" s="1">
        <v>212</v>
      </c>
      <c r="E31" s="2" t="s">
        <v>62</v>
      </c>
      <c r="F31">
        <v>1</v>
      </c>
      <c r="G31">
        <v>0.5</v>
      </c>
      <c r="H31">
        <v>1</v>
      </c>
      <c r="I31">
        <v>100</v>
      </c>
      <c r="J31">
        <v>1</v>
      </c>
      <c r="K31">
        <v>100</v>
      </c>
      <c r="L31">
        <v>1</v>
      </c>
      <c r="M31">
        <v>1</v>
      </c>
    </row>
    <row r="32" spans="1:13" x14ac:dyDescent="0.3">
      <c r="A32" s="1">
        <v>26</v>
      </c>
      <c r="B32" s="9" t="s">
        <v>63</v>
      </c>
      <c r="C32" s="9" t="s">
        <v>64</v>
      </c>
      <c r="D32" s="1">
        <v>246</v>
      </c>
      <c r="E32" s="2">
        <v>246277</v>
      </c>
      <c r="F32">
        <v>1</v>
      </c>
      <c r="G32">
        <v>0.5</v>
      </c>
      <c r="H32">
        <v>1</v>
      </c>
      <c r="I32">
        <v>100</v>
      </c>
      <c r="J32">
        <v>1</v>
      </c>
      <c r="K32">
        <v>100</v>
      </c>
      <c r="L32">
        <v>1</v>
      </c>
      <c r="M32">
        <v>1</v>
      </c>
    </row>
    <row r="33" spans="1:13" x14ac:dyDescent="0.3">
      <c r="A33" s="1">
        <v>27</v>
      </c>
      <c r="B33" s="9" t="s">
        <v>65</v>
      </c>
      <c r="C33" s="9" t="s">
        <v>66</v>
      </c>
      <c r="D33" s="1">
        <v>255</v>
      </c>
      <c r="E33" s="2">
        <v>255257259</v>
      </c>
      <c r="F33">
        <v>1</v>
      </c>
      <c r="G33">
        <v>0.33</v>
      </c>
      <c r="H33">
        <v>1</v>
      </c>
      <c r="I33">
        <v>100</v>
      </c>
      <c r="J33">
        <v>1</v>
      </c>
      <c r="K33">
        <v>100</v>
      </c>
      <c r="L33">
        <v>1</v>
      </c>
      <c r="M33">
        <v>1</v>
      </c>
    </row>
    <row r="34" spans="1:13" x14ac:dyDescent="0.3">
      <c r="A34" s="1">
        <v>28</v>
      </c>
      <c r="B34" s="9" t="s">
        <v>67</v>
      </c>
      <c r="C34" s="9" t="s">
        <v>68</v>
      </c>
      <c r="D34" s="1">
        <v>269</v>
      </c>
      <c r="E34" s="2">
        <v>269270</v>
      </c>
      <c r="F34">
        <v>1</v>
      </c>
      <c r="G34">
        <v>0.5</v>
      </c>
      <c r="H34">
        <v>1</v>
      </c>
      <c r="I34">
        <v>100</v>
      </c>
      <c r="J34">
        <v>1</v>
      </c>
      <c r="K34">
        <v>100</v>
      </c>
      <c r="L34">
        <v>1</v>
      </c>
      <c r="M34">
        <v>1</v>
      </c>
    </row>
    <row r="35" spans="1:13" x14ac:dyDescent="0.3">
      <c r="A35" s="1">
        <v>29</v>
      </c>
      <c r="B35" s="9" t="s">
        <v>69</v>
      </c>
      <c r="C35" s="9" t="s">
        <v>70</v>
      </c>
      <c r="D35" s="1">
        <v>276</v>
      </c>
      <c r="E35" s="2">
        <v>433271276</v>
      </c>
      <c r="F35">
        <v>1</v>
      </c>
      <c r="G35">
        <v>0.33</v>
      </c>
      <c r="H35">
        <v>1</v>
      </c>
      <c r="I35">
        <v>100</v>
      </c>
      <c r="J35">
        <v>0</v>
      </c>
      <c r="K35">
        <v>0</v>
      </c>
      <c r="L35">
        <v>3</v>
      </c>
      <c r="M35">
        <v>0.33</v>
      </c>
    </row>
    <row r="36" spans="1:13" x14ac:dyDescent="0.3">
      <c r="A36" s="1">
        <v>30</v>
      </c>
      <c r="B36" s="9" t="s">
        <v>71</v>
      </c>
      <c r="C36" s="9" t="s">
        <v>72</v>
      </c>
      <c r="D36" s="1">
        <v>282</v>
      </c>
      <c r="E36" s="2">
        <v>282283</v>
      </c>
      <c r="F36">
        <v>1</v>
      </c>
      <c r="G36">
        <v>0.5</v>
      </c>
      <c r="H36">
        <v>1</v>
      </c>
      <c r="I36">
        <v>100</v>
      </c>
      <c r="J36">
        <v>1</v>
      </c>
      <c r="K36">
        <v>100</v>
      </c>
      <c r="L36">
        <v>1</v>
      </c>
      <c r="M36">
        <v>1</v>
      </c>
    </row>
    <row r="37" spans="1:13" x14ac:dyDescent="0.3">
      <c r="A37" s="1">
        <v>31</v>
      </c>
      <c r="B37" s="13" t="s">
        <v>73</v>
      </c>
      <c r="C37" s="12" t="s">
        <v>74</v>
      </c>
      <c r="D37" s="1">
        <v>284</v>
      </c>
      <c r="E37" s="2">
        <v>193191448</v>
      </c>
      <c r="F37">
        <v>0</v>
      </c>
      <c r="G37">
        <v>0</v>
      </c>
      <c r="H37">
        <v>0</v>
      </c>
      <c r="I37">
        <v>0</v>
      </c>
      <c r="J37">
        <v>0</v>
      </c>
      <c r="K37">
        <v>0</v>
      </c>
      <c r="L37">
        <v>0</v>
      </c>
      <c r="M37">
        <v>0</v>
      </c>
    </row>
    <row r="38" spans="1:13" x14ac:dyDescent="0.3">
      <c r="A38" s="1">
        <v>32</v>
      </c>
      <c r="B38" s="9" t="s">
        <v>75</v>
      </c>
      <c r="C38" s="9" t="s">
        <v>76</v>
      </c>
      <c r="D38" s="1">
        <v>298</v>
      </c>
      <c r="E38" s="3" t="s">
        <v>77</v>
      </c>
      <c r="F38">
        <v>1</v>
      </c>
      <c r="G38">
        <v>0.33</v>
      </c>
      <c r="H38">
        <v>1</v>
      </c>
      <c r="I38">
        <v>100</v>
      </c>
      <c r="J38">
        <v>1</v>
      </c>
      <c r="K38">
        <v>100</v>
      </c>
      <c r="L38">
        <v>1</v>
      </c>
      <c r="M38">
        <v>1</v>
      </c>
    </row>
    <row r="39" spans="1:13" x14ac:dyDescent="0.3">
      <c r="A39" s="1">
        <v>33</v>
      </c>
      <c r="B39" s="9" t="s">
        <v>78</v>
      </c>
      <c r="C39" s="9" t="s">
        <v>79</v>
      </c>
      <c r="D39" s="1">
        <v>319</v>
      </c>
      <c r="E39" s="2">
        <v>319159179</v>
      </c>
      <c r="F39">
        <v>1</v>
      </c>
      <c r="G39">
        <v>0.33</v>
      </c>
      <c r="H39">
        <v>1</v>
      </c>
      <c r="I39">
        <v>100</v>
      </c>
      <c r="J39">
        <v>1</v>
      </c>
      <c r="K39">
        <v>100</v>
      </c>
      <c r="L39">
        <v>1</v>
      </c>
      <c r="M39">
        <v>1</v>
      </c>
    </row>
    <row r="40" spans="1:13" x14ac:dyDescent="0.3">
      <c r="A40" s="1">
        <v>34</v>
      </c>
      <c r="B40" s="9" t="s">
        <v>80</v>
      </c>
      <c r="C40" s="9" t="s">
        <v>81</v>
      </c>
      <c r="D40" s="1">
        <v>320</v>
      </c>
      <c r="E40" s="2">
        <v>320319528</v>
      </c>
      <c r="F40">
        <v>1</v>
      </c>
      <c r="G40">
        <v>0.33</v>
      </c>
      <c r="H40">
        <v>1</v>
      </c>
      <c r="I40">
        <v>100</v>
      </c>
      <c r="J40">
        <v>1</v>
      </c>
      <c r="K40">
        <v>100</v>
      </c>
      <c r="L40">
        <v>1</v>
      </c>
      <c r="M40">
        <v>1</v>
      </c>
    </row>
    <row r="41" spans="1:13" x14ac:dyDescent="0.3">
      <c r="A41" s="1">
        <v>35</v>
      </c>
      <c r="B41" s="9" t="s">
        <v>82</v>
      </c>
      <c r="C41" s="9" t="s">
        <v>83</v>
      </c>
      <c r="D41" s="1">
        <v>332</v>
      </c>
      <c r="E41" s="2">
        <v>164150151</v>
      </c>
      <c r="F41">
        <v>0</v>
      </c>
      <c r="G41">
        <v>0</v>
      </c>
      <c r="H41">
        <v>0</v>
      </c>
      <c r="I41">
        <v>0</v>
      </c>
      <c r="J41">
        <v>0</v>
      </c>
      <c r="K41">
        <v>0</v>
      </c>
      <c r="L41">
        <v>0</v>
      </c>
      <c r="M41">
        <v>0</v>
      </c>
    </row>
    <row r="42" spans="1:13" x14ac:dyDescent="0.3">
      <c r="A42" s="1">
        <v>36</v>
      </c>
      <c r="B42" s="9" t="s">
        <v>84</v>
      </c>
      <c r="C42" s="9" t="s">
        <v>85</v>
      </c>
      <c r="D42" s="1">
        <v>343</v>
      </c>
      <c r="E42" s="2">
        <v>343345</v>
      </c>
      <c r="F42">
        <v>1</v>
      </c>
      <c r="G42">
        <v>0.5</v>
      </c>
      <c r="H42">
        <v>1</v>
      </c>
      <c r="I42">
        <v>100</v>
      </c>
      <c r="J42">
        <v>1</v>
      </c>
      <c r="K42">
        <v>100</v>
      </c>
      <c r="L42">
        <v>1</v>
      </c>
      <c r="M42">
        <v>1</v>
      </c>
    </row>
    <row r="43" spans="1:13" x14ac:dyDescent="0.3">
      <c r="A43" s="1">
        <v>37</v>
      </c>
      <c r="B43" s="9" t="s">
        <v>86</v>
      </c>
      <c r="C43" s="9" t="s">
        <v>87</v>
      </c>
      <c r="D43" s="1">
        <v>352</v>
      </c>
      <c r="E43" s="2">
        <v>352351</v>
      </c>
      <c r="F43">
        <v>1</v>
      </c>
      <c r="G43">
        <v>0.5</v>
      </c>
      <c r="H43">
        <v>1</v>
      </c>
      <c r="I43">
        <v>100</v>
      </c>
      <c r="J43">
        <v>1</v>
      </c>
      <c r="K43">
        <v>100</v>
      </c>
      <c r="L43">
        <v>1</v>
      </c>
      <c r="M43">
        <v>1</v>
      </c>
    </row>
    <row r="44" spans="1:13" x14ac:dyDescent="0.3">
      <c r="A44" s="1">
        <v>38</v>
      </c>
      <c r="B44" s="9" t="s">
        <v>88</v>
      </c>
      <c r="C44" s="9" t="s">
        <v>89</v>
      </c>
      <c r="D44" s="1">
        <v>365</v>
      </c>
      <c r="E44" s="2">
        <v>371370387</v>
      </c>
      <c r="F44">
        <v>0</v>
      </c>
      <c r="G44">
        <v>0</v>
      </c>
      <c r="H44">
        <v>0</v>
      </c>
      <c r="I44">
        <v>0</v>
      </c>
      <c r="J44">
        <v>0</v>
      </c>
      <c r="K44">
        <v>0</v>
      </c>
      <c r="L44">
        <v>0</v>
      </c>
      <c r="M44">
        <v>0</v>
      </c>
    </row>
    <row r="45" spans="1:13" x14ac:dyDescent="0.3">
      <c r="A45" s="1">
        <v>39</v>
      </c>
      <c r="B45" s="9" t="s">
        <v>90</v>
      </c>
      <c r="C45" s="9" t="s">
        <v>91</v>
      </c>
      <c r="D45" s="1">
        <v>365</v>
      </c>
      <c r="E45" s="2">
        <v>365367387</v>
      </c>
      <c r="F45">
        <v>1</v>
      </c>
      <c r="G45">
        <v>0.33</v>
      </c>
      <c r="H45">
        <v>1</v>
      </c>
      <c r="I45">
        <v>100</v>
      </c>
      <c r="J45">
        <v>1</v>
      </c>
      <c r="K45">
        <v>100</v>
      </c>
      <c r="L45">
        <v>1</v>
      </c>
      <c r="M45">
        <v>1</v>
      </c>
    </row>
    <row r="46" spans="1:13" x14ac:dyDescent="0.3">
      <c r="A46" s="1">
        <v>40</v>
      </c>
      <c r="B46" s="9" t="s">
        <v>92</v>
      </c>
      <c r="C46" s="9" t="s">
        <v>93</v>
      </c>
      <c r="D46" s="1">
        <v>372</v>
      </c>
      <c r="E46" s="2">
        <v>372359379</v>
      </c>
      <c r="F46">
        <v>1</v>
      </c>
      <c r="G46">
        <v>0.33</v>
      </c>
      <c r="H46">
        <v>1</v>
      </c>
      <c r="I46">
        <v>100</v>
      </c>
      <c r="J46">
        <v>1</v>
      </c>
      <c r="K46">
        <v>100</v>
      </c>
      <c r="L46">
        <v>1</v>
      </c>
      <c r="M46">
        <v>1</v>
      </c>
    </row>
    <row r="47" spans="1:13" x14ac:dyDescent="0.3">
      <c r="A47" s="1">
        <v>41</v>
      </c>
      <c r="B47" s="9" t="s">
        <v>94</v>
      </c>
      <c r="C47" s="9" t="s">
        <v>95</v>
      </c>
      <c r="D47" s="1">
        <v>398</v>
      </c>
      <c r="E47" s="2">
        <v>398365</v>
      </c>
      <c r="F47">
        <v>1</v>
      </c>
      <c r="G47">
        <v>0.5</v>
      </c>
      <c r="H47">
        <v>1</v>
      </c>
      <c r="I47">
        <v>100</v>
      </c>
      <c r="J47">
        <v>1</v>
      </c>
      <c r="K47">
        <v>100</v>
      </c>
      <c r="L47">
        <v>1</v>
      </c>
      <c r="M47">
        <v>1</v>
      </c>
    </row>
    <row r="48" spans="1:13" x14ac:dyDescent="0.3">
      <c r="A48" s="1">
        <v>42</v>
      </c>
      <c r="B48" s="9" t="s">
        <v>96</v>
      </c>
      <c r="C48" s="9" t="s">
        <v>97</v>
      </c>
      <c r="D48" s="1">
        <v>331</v>
      </c>
      <c r="E48" s="3" t="s">
        <v>98</v>
      </c>
      <c r="F48">
        <v>1</v>
      </c>
      <c r="G48">
        <v>0.33</v>
      </c>
      <c r="H48">
        <v>1</v>
      </c>
      <c r="I48">
        <v>100</v>
      </c>
      <c r="J48">
        <v>1</v>
      </c>
      <c r="K48">
        <v>100</v>
      </c>
      <c r="L48">
        <v>1</v>
      </c>
      <c r="M48">
        <v>1</v>
      </c>
    </row>
    <row r="49" spans="1:13" x14ac:dyDescent="0.3">
      <c r="A49" s="1">
        <v>43</v>
      </c>
      <c r="B49" s="9" t="s">
        <v>99</v>
      </c>
      <c r="C49" s="9" t="s">
        <v>100</v>
      </c>
      <c r="D49" s="1">
        <v>406</v>
      </c>
      <c r="E49" s="2">
        <v>407418419</v>
      </c>
      <c r="F49">
        <v>0</v>
      </c>
      <c r="G49">
        <v>0</v>
      </c>
      <c r="H49">
        <v>0</v>
      </c>
      <c r="I49">
        <v>0</v>
      </c>
      <c r="J49">
        <v>0</v>
      </c>
      <c r="K49">
        <v>0</v>
      </c>
      <c r="L49">
        <v>0</v>
      </c>
      <c r="M49">
        <v>0</v>
      </c>
    </row>
    <row r="50" spans="1:13" x14ac:dyDescent="0.3">
      <c r="A50" s="1">
        <v>44</v>
      </c>
      <c r="B50" s="9" t="s">
        <v>101</v>
      </c>
      <c r="C50" s="9" t="s">
        <v>102</v>
      </c>
      <c r="D50" s="1">
        <v>422</v>
      </c>
      <c r="E50" s="3" t="s">
        <v>103</v>
      </c>
      <c r="F50">
        <v>1</v>
      </c>
      <c r="G50">
        <v>0.33</v>
      </c>
      <c r="H50">
        <v>1</v>
      </c>
      <c r="I50">
        <v>100</v>
      </c>
      <c r="J50">
        <v>1</v>
      </c>
      <c r="K50">
        <v>100</v>
      </c>
      <c r="L50">
        <v>1</v>
      </c>
      <c r="M50">
        <v>1</v>
      </c>
    </row>
    <row r="51" spans="1:13" x14ac:dyDescent="0.3">
      <c r="A51" s="1">
        <v>45</v>
      </c>
      <c r="B51" s="9" t="s">
        <v>104</v>
      </c>
      <c r="C51" s="9" t="s">
        <v>105</v>
      </c>
      <c r="D51" s="1">
        <v>426</v>
      </c>
      <c r="E51" s="7">
        <v>426304425</v>
      </c>
      <c r="F51">
        <v>1</v>
      </c>
      <c r="G51">
        <v>0.33</v>
      </c>
      <c r="H51">
        <v>1</v>
      </c>
      <c r="I51">
        <v>100</v>
      </c>
      <c r="J51">
        <v>1</v>
      </c>
      <c r="K51">
        <v>100</v>
      </c>
      <c r="L51">
        <v>1</v>
      </c>
      <c r="M51">
        <v>1</v>
      </c>
    </row>
    <row r="52" spans="1:13" x14ac:dyDescent="0.3">
      <c r="A52" s="1">
        <v>46</v>
      </c>
      <c r="B52" s="12" t="s">
        <v>106</v>
      </c>
      <c r="C52" s="12" t="s">
        <v>107</v>
      </c>
      <c r="D52" s="1">
        <v>430</v>
      </c>
      <c r="E52" s="2">
        <v>430108</v>
      </c>
      <c r="F52">
        <v>1</v>
      </c>
      <c r="G52">
        <v>0.5</v>
      </c>
      <c r="H52">
        <v>1</v>
      </c>
      <c r="I52">
        <v>100</v>
      </c>
      <c r="J52">
        <v>1</v>
      </c>
      <c r="K52">
        <v>100</v>
      </c>
      <c r="L52">
        <v>1</v>
      </c>
      <c r="M52">
        <v>1</v>
      </c>
    </row>
    <row r="53" spans="1:13" x14ac:dyDescent="0.3">
      <c r="A53" s="1">
        <v>47</v>
      </c>
      <c r="B53" s="9" t="s">
        <v>108</v>
      </c>
      <c r="C53" s="9" t="s">
        <v>109</v>
      </c>
      <c r="D53" s="1">
        <v>432</v>
      </c>
      <c r="E53" s="2">
        <v>432585</v>
      </c>
      <c r="F53">
        <v>1</v>
      </c>
      <c r="G53">
        <v>0.5</v>
      </c>
      <c r="H53">
        <v>1</v>
      </c>
      <c r="I53">
        <v>100</v>
      </c>
      <c r="J53">
        <v>1</v>
      </c>
      <c r="K53">
        <v>100</v>
      </c>
      <c r="L53">
        <v>1</v>
      </c>
      <c r="M53">
        <v>1</v>
      </c>
    </row>
    <row r="54" spans="1:13" x14ac:dyDescent="0.3">
      <c r="A54" s="1">
        <v>48</v>
      </c>
      <c r="B54" s="9" t="s">
        <v>110</v>
      </c>
      <c r="C54" s="9" t="s">
        <v>111</v>
      </c>
      <c r="D54" s="1">
        <v>438</v>
      </c>
      <c r="E54" s="2">
        <v>439438</v>
      </c>
      <c r="F54">
        <v>1</v>
      </c>
      <c r="G54">
        <v>0.5</v>
      </c>
      <c r="H54">
        <v>1</v>
      </c>
      <c r="I54">
        <v>100</v>
      </c>
      <c r="J54">
        <v>0</v>
      </c>
      <c r="K54">
        <v>0</v>
      </c>
      <c r="L54">
        <v>2</v>
      </c>
      <c r="M54">
        <v>0.5</v>
      </c>
    </row>
    <row r="55" spans="1:13" x14ac:dyDescent="0.3">
      <c r="A55" s="1">
        <v>49</v>
      </c>
      <c r="B55" s="9" t="s">
        <v>112</v>
      </c>
      <c r="C55" s="9" t="s">
        <v>113</v>
      </c>
      <c r="D55" s="1">
        <v>439</v>
      </c>
      <c r="E55" s="2">
        <v>439</v>
      </c>
      <c r="F55">
        <v>1</v>
      </c>
      <c r="G55">
        <v>1</v>
      </c>
      <c r="H55">
        <v>1</v>
      </c>
      <c r="I55">
        <v>100</v>
      </c>
      <c r="J55">
        <v>1</v>
      </c>
      <c r="K55">
        <v>100</v>
      </c>
      <c r="L55">
        <v>1</v>
      </c>
      <c r="M55">
        <v>1</v>
      </c>
    </row>
    <row r="56" spans="1:13" x14ac:dyDescent="0.3">
      <c r="A56" s="1">
        <v>50</v>
      </c>
      <c r="B56" s="9" t="s">
        <v>114</v>
      </c>
      <c r="C56" s="9" t="s">
        <v>115</v>
      </c>
      <c r="D56" s="1">
        <v>445</v>
      </c>
      <c r="E56" s="3" t="s">
        <v>116</v>
      </c>
      <c r="F56">
        <v>1</v>
      </c>
      <c r="G56">
        <v>0.33</v>
      </c>
      <c r="H56">
        <v>1</v>
      </c>
      <c r="I56">
        <v>100</v>
      </c>
      <c r="J56">
        <v>1</v>
      </c>
      <c r="K56">
        <v>100</v>
      </c>
      <c r="L56">
        <v>1</v>
      </c>
      <c r="M5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2026-10-08T00:50:40Z</dcterms:created>
  <dcterms:modified xsi:type="dcterms:W3CDTF">2026-10-08T00:59:52Z</dcterms:modified>
</cp:coreProperties>
</file>