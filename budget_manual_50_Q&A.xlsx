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G:\"/>
    </mc:Choice>
  </mc:AlternateContent>
  <xr:revisionPtr revIDLastSave="0" documentId="13_ncr:1_{AF5E5297-F9C6-4232-8739-A1C5CC7FA225}" xr6:coauthVersionLast="47" xr6:coauthVersionMax="47" xr10:uidLastSave="{00000000-0000-0000-0000-000000000000}"/>
  <bookViews>
    <workbookView xWindow="-108" yWindow="-108" windowWidth="23256" windowHeight="12576" xr2:uid="{40237433-BC34-4951-B23C-A8788322A2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K3" i="1"/>
  <c r="K4" i="1"/>
  <c r="I3" i="1"/>
  <c r="I4" i="1"/>
  <c r="G3" i="1"/>
  <c r="G4" i="1"/>
</calcChain>
</file>

<file path=xl/sharedStrings.xml><?xml version="1.0" encoding="utf-8"?>
<sst xmlns="http://schemas.openxmlformats.org/spreadsheetml/2006/main" count="162" uniqueCount="158">
  <si>
    <t>On what basis is the Budget prepared — cash or accrual — and what does this mean in practice?</t>
  </si>
  <si>
    <t>On Cash Basis: whatever is expected to be actually received or paid under proper sanction during a financial year (including arrears of past years) should be budgeted in that year.</t>
  </si>
  <si>
    <t>13,18,17</t>
  </si>
  <si>
    <t>From which year was 1st April–31st March adopted as India's financial year, and what was the period before that?</t>
  </si>
  <si>
    <t>Adopted from 1867 (on the recommendation of the L.K. Jha Committee's Report); before that the financial year ran from 1st May to 30th April.</t>
  </si>
  <si>
    <t>17,82,1</t>
  </si>
  <si>
    <t>What are the three levels used to depict schemes in the Statement of Budget Estimates (SBE)?</t>
  </si>
  <si>
    <t>Umbrella Schemes, Schemes, and Sub-Schemes — a maximum of three levels.</t>
  </si>
  <si>
    <t>41,51,53</t>
  </si>
  <si>
    <t>What is the difference between a 'Demand' and an 'Appropriation' in the Demands for Grants?</t>
  </si>
  <si>
    <t>Expenditure requiring a vote of the Lok Sabha is presented as a 'Demand'; where there is no estimate requiring a vote, it is not called a Demand but an 'Appropriation'.</t>
  </si>
  <si>
    <t>11,47,60</t>
  </si>
  <si>
    <t>What are the two parts of the Receipts Budget?</t>
  </si>
  <si>
    <t>Part A – Receipts, and Part B – Asset and Liability statements.</t>
  </si>
  <si>
    <t>21,18,37</t>
  </si>
  <si>
    <t>Which Articles of the Constitution outline the mechanism for parliamentary control over public finances?</t>
  </si>
  <si>
    <t>Articles 265, 266, 112 and 114 of the Constitution of India.</t>
  </si>
  <si>
    <t>69,15,83</t>
  </si>
  <si>
    <t>Through which document is the President's approval obtained before the Budget is presented, and what does it include?</t>
  </si>
  <si>
    <t>The 'Summary for the President', obtained under Article 117(1) and 117(3); it includes the Annual Financial Statement, Finance Bill, Demands for Grants and statements required under the FRBM Act, 2003.</t>
  </si>
  <si>
    <t>25,127,26</t>
  </si>
  <si>
    <t>At what time and on what date is the Budget normally presented in Lok Sabha?</t>
  </si>
  <si>
    <t>At 11.00 am on the 1st February, or any other date decided by the President (Article 204(1) of the Rules of Procedure and Conduct of Business in Lok Sabha).</t>
  </si>
  <si>
    <t>25,26,127</t>
  </si>
  <si>
    <t>How long does the Provisional Collection of Taxes Act, 1931 declaration give immediate effect to certain Finance Bill clauses?</t>
  </si>
  <si>
    <t>For 75 days, or till the date of enactment of the Finance Bill, whichever is earlier.</t>
  </si>
  <si>
    <t>28,92</t>
  </si>
  <si>
    <t>What savings threshold in a Grant requires explanation to the Public Accounts Committee?</t>
  </si>
  <si>
    <t>Savings amounting to ₹100 crore and above.</t>
  </si>
  <si>
    <t>41,67,31</t>
  </si>
  <si>
    <t>What are the two main duties of the C&amp;AG audit as stated in the Manual?</t>
  </si>
  <si>
    <t>To verify whether moneys shown as disbursed were legally available and applicable to the purpose charged, and (per the fuller list) whether expenditure conforms to the authority governing it.</t>
  </si>
  <si>
    <t>33,72,104</t>
  </si>
  <si>
    <t>When does the Budget Circular normally get issued, and what is it meant to provide?</t>
  </si>
  <si>
    <t>Normally in the month of September each year; it provides guidance to Ministries/Departments for framing Revised Estimates for the current year and Budget Estimates for the ensuing year.</t>
  </si>
  <si>
    <t>37,17</t>
  </si>
  <si>
    <t>What are the three components of Non-Tax Revenue (NTR)?</t>
  </si>
  <si>
    <t>Interest received from States, UTs and other sources; Dividend from PSUs, RBI and other banks &amp; insurance companies; and Other NTR.</t>
  </si>
  <si>
    <t>38,49</t>
  </si>
  <si>
    <t>What are the six broad categories into which Central Government expenditure is classified (post 2017-18 Plan/Non-Plan merger)?</t>
  </si>
  <si>
    <t>Establishment Expenditure of the Centre, Central Sector Schemes, Other Central Expenditure (incl. CPSEs/Autonomous Bodies), Centrally Sponsored Schemes, and other Transfers to States/UTs — grouped under two umbrellas: Centre's Expenditure and Transfers to States/UTs.</t>
  </si>
  <si>
    <t>52,122,21</t>
  </si>
  <si>
    <t>What is the Detailed Demands for Grants (DDG) system requirement regarding UBIS and PFMS?</t>
  </si>
  <si>
    <t>DDGs must be mandatorily entered by Ministries/Departments in UBIS; the DDG generated from UBIS is fed into PFMS to enable incurring of expenditure.</t>
  </si>
  <si>
    <t>46,47,48</t>
  </si>
  <si>
    <t>Under which Minor Heads are SCSP and TASP allocations reviewed, and which Ministries are the nodal ministries?</t>
  </si>
  <si>
    <t>SCSP under Minor Head 789 and TASP under Minor Head 796; nodal ministries are Ministry of Social Justice &amp; Empowerment (SCSP) and Ministry of Tribal Affairs (TASP).</t>
  </si>
  <si>
    <t>48,42,72</t>
  </si>
  <si>
    <t>What is the maximum number of classification tiers allowed in the Detailed Demands for Grants, and name the six tiers.</t>
  </si>
  <si>
    <t>Six tiers: Major Head (4 digits – Function), Sub-Major Head (2 digits – Sub-Function), Minor Head (3 digits – Programme), Sub-Head (2 digits – Scheme), Detailed Head (2 digits – Sub-Scheme), Object Head (2 digits – Primary Units of Appropriation).</t>
  </si>
  <si>
    <t>47,46,53</t>
  </si>
  <si>
    <t>In the Expenditure Budget, how are the figures generally presented gross or net of recoveries?</t>
  </si>
  <si>
    <t>Generally net of recoveries, as filled/submitted by Ministries/Departments in the Statement of Budget Estimates (SBE) via UBIS.</t>
  </si>
  <si>
    <t>54,19,77</t>
  </si>
  <si>
    <t>19,18,77</t>
  </si>
  <si>
    <t>On what basis is the Annual Financial Statement (AFS) generated?</t>
  </si>
  <si>
    <t>On the basis of information filled by different sections of the Budget Division in the Union Budget Information System (UBIS); Actuals are based on information provided by CGA.</t>
  </si>
  <si>
    <t>101,19,82</t>
  </si>
  <si>
    <t>When must the final print order for Detailed Demands for Grants be given?</t>
  </si>
  <si>
    <t>Only after reconciliation is completed between the Detailed Demands for Grants (Revenue and Capital, Charged and Voted) and the Demands for Grants prepared by the Budget Division.</t>
  </si>
  <si>
    <t>130,46,47</t>
  </si>
  <si>
    <t>What are the four conditions the Manual lists for expenditure being properly incurred?</t>
  </si>
  <si>
    <t>Provision of funds authorised by competent authority; incurred under authority competent to sanction it; due prudence followed in incurrence; and (from the fuller list) conforming to sanction limits.</t>
  </si>
  <si>
    <t>68,55,69</t>
  </si>
  <si>
    <t>What is the amount of a Token Supplementary, and when is it obtained?</t>
  </si>
  <si>
    <t>₹0.01 crore (₹1 lakh); obtained when, due to NS/NIS limits, Parliament's approval is required for re-appropriation within the same section of the Demand.</t>
  </si>
  <si>
    <t>67,66,135</t>
  </si>
  <si>
    <t>When was the Cash Management and Exchequer Control (CMEC) scheme initially introduced?</t>
  </si>
  <si>
    <t>On 1st April, 2006.</t>
  </si>
  <si>
    <t>What must be obtained before any expenditure is incurred that would exceed the total grant or appropriation authorised by Parliament?</t>
  </si>
  <si>
    <t>A supplementary grant or appropriation, or an advance from the Contingency Fund, must first be obtained.</t>
  </si>
  <si>
    <t>63,103,13</t>
  </si>
  <si>
    <t>Which Article of the Constitution deals with devolution of shareable taxes and duties?</t>
  </si>
  <si>
    <t>Article 270 of the Constitution of India.</t>
  </si>
  <si>
    <t>69,90</t>
  </si>
  <si>
    <t>Which two statements of fiscal policy must the Central Government lay before Parliament under the FRBM Act, 2003, besides the Annual Financial Statement and Demands for Grants?</t>
  </si>
  <si>
    <t>(a) Medium-Term Fiscal Policy Statement &amp; Fiscal Policy Strategy Statement; and (b) Macro-Economic Framework Statement.</t>
  </si>
  <si>
    <t>71,124,18</t>
  </si>
  <si>
    <t>124,20,18</t>
  </si>
  <si>
    <t>Since which fiscal year has the Outcome Budget been part of the budgetary process?</t>
  </si>
  <si>
    <t>Since fiscal year 2006-07.</t>
  </si>
  <si>
    <t>37,17,71</t>
  </si>
  <si>
    <t>What is the outlay threshold for schemes to be covered in the Output-Outcome Framework of the Outcome Budget?</t>
  </si>
  <si>
    <t>Central Sector (CS) and Centrally Sponsored Schemes (CSS) with an outlay of ₹500 crore or more.</t>
  </si>
  <si>
    <t>71,59</t>
  </si>
  <si>
    <t>59,58,40</t>
  </si>
  <si>
    <t>Who selects the subject for consideration by the Public Accounts Committee (PAC), and on what basis?</t>
  </si>
  <si>
    <t>The PAC selects the subject based on the Audit Report submitted by the C&amp;AG.</t>
  </si>
  <si>
    <t>73,34,35</t>
  </si>
  <si>
    <t>What are the three parts in which Government accounts are maintained under Constitutional requirements?</t>
  </si>
  <si>
    <t>Part I – Consolidated Fund; Part II – Contingency Fund; Part III – Public Account.</t>
  </si>
  <si>
    <t>76,69,93</t>
  </si>
  <si>
    <t>Under which Article of the Constitution is the Consolidated Fund of India constituted?</t>
  </si>
  <si>
    <t>Article 266(1) of the Constitution of India.</t>
  </si>
  <si>
    <t>14,93,9</t>
  </si>
  <si>
    <t>Under which Article and Act is the Contingency Fund of India established?</t>
  </si>
  <si>
    <t xml:space="preserve">Article 267 of the Constitution provides for the Fund; </t>
  </si>
  <si>
    <t>89,14,134</t>
  </si>
  <si>
    <t>On what basis is Government accounting done in India, and what is not included?</t>
  </si>
  <si>
    <t>On a cash basis; only actual receipts and payments during the year are taken into account, with no outstanding liabilities or accrued income included.</t>
  </si>
  <si>
    <t>105,76,77</t>
  </si>
  <si>
    <t>What are the three types of accounts consolidated monthly by CGA to generate the Government of India accounts as a whole?</t>
  </si>
  <si>
    <t>Monthly and Annual Accounts, Finance Accounts, and Appropriation Accounts.</t>
  </si>
  <si>
    <t>75,10,77</t>
  </si>
  <si>
    <t>Under Article 109, within how many days must the Council of States return a Money Bill with its recommendations?</t>
  </si>
  <si>
    <t>Within a period of fourteen days from the date of its receipt of the Bill.</t>
  </si>
  <si>
    <t>81,15,16</t>
  </si>
  <si>
    <t>Under Article 268, how are stamp duties on medicinal and toilet preparations levied and collected?</t>
  </si>
  <si>
    <t>Levied by the Government of India but collected by the Government of India in Union Territories, and by the States in other cases where such duties are leviable within a State; proceeds within a State are assigned to that State.</t>
  </si>
  <si>
    <t>90,69</t>
  </si>
  <si>
    <t>Under Article 356, what can the President do on being satisfied that constitutional machinery has failed in a State?</t>
  </si>
  <si>
    <t>Assume to himself all or any functions of the State Government and powers of the Governor (except the Legislature), and declare that the powers of the State Legislature shall be exercisable by or under the authority of Parliament.</t>
  </si>
  <si>
    <t>95,88</t>
  </si>
  <si>
    <t>Under the J&amp;K Reorganisation Act, 2019, on whose recommendation alone can a demand for grant be made in the Legislative Assembly?</t>
  </si>
  <si>
    <t>Only on the recommendation of the Lieutenant Governor.</t>
  </si>
  <si>
    <t>100,84,148</t>
  </si>
  <si>
    <t>Under Article 148, who appoints the Comptroller and Auditor-General of India and how may they be removed?</t>
  </si>
  <si>
    <t>Appointed by the President by warrant under his hand and seal; removed only in the like manner and on like grounds as a Judge of the Supreme Court.</t>
  </si>
  <si>
    <t>104,72</t>
  </si>
  <si>
    <t>In which month is the Budget Circular typically issued to all Ministries/Departments regarding framing of RE/BE estimates?</t>
  </si>
  <si>
    <t>Around 16th September (per the illustrative schedule), regarding framing of estimates of receipts and expenditure and the time schedule.</t>
  </si>
  <si>
    <t>37,112,71</t>
  </si>
  <si>
    <t>By when is processing/finalisation of estimates of Non-Tax Revenue Receipts (Provisional and Final) done as per the illustrative schedule?</t>
  </si>
  <si>
    <t>Provisional by 16th December and Final by 7th January.</t>
  </si>
  <si>
    <t>38,37</t>
  </si>
  <si>
    <t>Which Demand for Grants list is handled by the 'Accounts' Section of the Budget Division?</t>
  </si>
  <si>
    <t>Civil Pensions, Department of Posts, Department of Telecommunications, Defence Services (Revenue/Capital/Miscellaneous), Defence Pensions, and Railways.</t>
  </si>
  <si>
    <t>47,46,138</t>
  </si>
  <si>
    <t>Which Statement numbers of the Expenditure Profile relate to Centrally Sponsored Schemes and Central Sector Schemes, handled by the Planning &amp; Allocation Section?</t>
  </si>
  <si>
    <t>Statement 4A – Centrally Sponsored Schemes, and Statement 4B – Central Sector Schemes.</t>
  </si>
  <si>
    <t>118,122,52</t>
  </si>
  <si>
    <t>55,52,122</t>
  </si>
  <si>
    <t>Under the FRBM Act, 2003, which two statements are prepared for submission to Parliament along with the Budget, and when did the Act come into force?</t>
  </si>
  <si>
    <t>Macro-Economic Framework Statement and Medium Term Fiscal Policy cum Fiscal Policy Strategy Statement; the FRBM Act, 2003 and Rules, 2004 came into force with effect from 5th July, 2004.</t>
  </si>
  <si>
    <t>20,124,18</t>
  </si>
  <si>
    <t>Under Rule 3 of the Contingency Fund of India Rules, what percentage of the Fund corpus is placed at the disposal of the Secretary, Department of Expenditure?</t>
  </si>
  <si>
    <t>Forty per cent (40%) of the Fund corpus, for meeting unforeseen expenditure.</t>
  </si>
  <si>
    <t>134,76,14</t>
  </si>
  <si>
    <t>Name the five Sectors into which the Public Account of India (excluding Small Savings etc.) is divided, as listed in Annexure 12.</t>
  </si>
  <si>
    <t>Sector I – Small Savings, Provident Funds etc.; Sector J – Reserve Funds; Sector K – Deposits and Advances; Sector L – Suspense and Miscellaneous; Sector M – Remittances.</t>
  </si>
  <si>
    <t>137,76,121</t>
  </si>
  <si>
    <t>Since when has the National Small Savings Fund (NSSF) been in operation, and how many small savings schemes currently operate under it?</t>
  </si>
  <si>
    <t>NSSF schemes started from 1873; currently twelve such schemes are operating (e.g. Sukanya Samriddhi Account, PPF, Kisan Vikas Patra, Senior Citizens' Savings Scheme).</t>
  </si>
  <si>
    <t>What is a Government Security (G-Sec), and through what electronic platform does RBI conduct the auctions?</t>
  </si>
  <si>
    <t>A tradable instrument issued by Government acknowledging its debt obligation (short-term Treasury Bills or long-term dated securities/bonds); auctions are conducted by RBI on its electronic platform called E-Kuber (Core Banking Solution).</t>
  </si>
  <si>
    <t>S.No.</t>
  </si>
  <si>
    <t>Question</t>
  </si>
  <si>
    <t>Answer</t>
  </si>
  <si>
    <t xml:space="preserve">Page </t>
  </si>
  <si>
    <t>Predicted Page</t>
  </si>
  <si>
    <t>Relevant pages</t>
  </si>
  <si>
    <t>Precision@3</t>
  </si>
  <si>
    <t>Correct page found in top 3</t>
  </si>
  <si>
    <t>Recall@3</t>
  </si>
  <si>
    <t>Top 1 page found</t>
  </si>
  <si>
    <t>Top 1 page accuracy</t>
  </si>
  <si>
    <t xml:space="preserve">Correct page rank </t>
  </si>
  <si>
    <t>MRR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</si>
</sst>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10"/>
      <name val="Arial"/>
    </font>
  </fonts>
  <fills count="3">
    <fill>
      <patternFill patternType="none"/>
    </fill>
    <fill>
      <patternFill patternType="gray125"/>
    </fill>
    <fill>
      <patternFill patternType="solid">
        <fgColor theme="4"/>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top" wrapText="1"/>
    </xf>
    <xf numFmtId="0" fontId="0" fillId="0" borderId="2" xfId="0" applyBorder="1"/>
    <xf numFmtId="3" fontId="0" fillId="0" borderId="0" xfId="0" applyNumberFormat="1"/>
    <xf numFmtId="0" fontId="2" fillId="0" borderId="1" xfId="0" applyFont="1" applyBorder="1" applyAlignment="1">
      <alignment horizontal="left" vertical="top"/>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2EB28-6430-4371-BAAB-279BCB189FB7}">
  <dimension ref="A3:M55"/>
  <sheetViews>
    <sheetView tabSelected="1" topLeftCell="B1" workbookViewId="0">
      <selection activeCell="F8" sqref="F8"/>
    </sheetView>
  </sheetViews>
  <sheetFormatPr defaultColWidth="17" defaultRowHeight="14.4" x14ac:dyDescent="0.3"/>
  <sheetData>
    <row r="3" spans="1:13" x14ac:dyDescent="0.3">
      <c r="G3">
        <f>16.89*100/50</f>
        <v>33.78</v>
      </c>
      <c r="I3">
        <f>4200/50</f>
        <v>84</v>
      </c>
      <c r="K3">
        <f>3200/50</f>
        <v>64</v>
      </c>
      <c r="M3">
        <f>35.98 *100/50</f>
        <v>71.959999999999994</v>
      </c>
    </row>
    <row r="4" spans="1:13" x14ac:dyDescent="0.3">
      <c r="G4">
        <f>SUM(G6:G55)</f>
        <v>16.89</v>
      </c>
      <c r="I4">
        <f>SUM(I6:I55)</f>
        <v>4200</v>
      </c>
      <c r="K4">
        <f>SUM(K6:K55)</f>
        <v>3200</v>
      </c>
      <c r="M4">
        <f>SUM(M6:M55)</f>
        <v>35.979999999999997</v>
      </c>
    </row>
    <row r="5" spans="1:13" x14ac:dyDescent="0.3">
      <c r="A5" s="5" t="s">
        <v>145</v>
      </c>
      <c r="B5" s="5" t="s">
        <v>146</v>
      </c>
      <c r="C5" s="5" t="s">
        <v>147</v>
      </c>
      <c r="D5" s="5" t="s">
        <v>148</v>
      </c>
      <c r="E5" s="5" t="s">
        <v>149</v>
      </c>
      <c r="F5" s="5" t="s">
        <v>150</v>
      </c>
      <c r="G5" s="5" t="s">
        <v>151</v>
      </c>
      <c r="H5" s="5" t="s">
        <v>152</v>
      </c>
      <c r="I5" s="5" t="s">
        <v>153</v>
      </c>
      <c r="J5" s="5" t="s">
        <v>154</v>
      </c>
      <c r="K5" s="5" t="s">
        <v>155</v>
      </c>
      <c r="L5" s="5" t="s">
        <v>156</v>
      </c>
      <c r="M5" s="5" t="s">
        <v>157</v>
      </c>
    </row>
    <row r="6" spans="1:13" x14ac:dyDescent="0.3">
      <c r="A6">
        <v>1</v>
      </c>
      <c r="B6" s="4" t="s">
        <v>0</v>
      </c>
      <c r="C6" s="4" t="s">
        <v>1</v>
      </c>
      <c r="D6" s="1">
        <v>17</v>
      </c>
      <c r="E6" t="s">
        <v>2</v>
      </c>
      <c r="F6">
        <v>1</v>
      </c>
      <c r="G6" s="2">
        <v>0.33</v>
      </c>
      <c r="H6">
        <v>1</v>
      </c>
      <c r="I6">
        <v>100</v>
      </c>
      <c r="J6">
        <v>0</v>
      </c>
      <c r="K6">
        <v>0</v>
      </c>
      <c r="L6">
        <v>3</v>
      </c>
      <c r="M6">
        <v>0.33</v>
      </c>
    </row>
    <row r="7" spans="1:13" x14ac:dyDescent="0.3">
      <c r="A7">
        <v>2</v>
      </c>
      <c r="B7" s="4" t="s">
        <v>3</v>
      </c>
      <c r="C7" s="4" t="s">
        <v>4</v>
      </c>
      <c r="D7" s="1">
        <v>17</v>
      </c>
      <c r="E7" t="s">
        <v>5</v>
      </c>
      <c r="F7">
        <v>1</v>
      </c>
      <c r="G7">
        <v>0.33</v>
      </c>
      <c r="H7">
        <v>1</v>
      </c>
      <c r="I7">
        <v>100</v>
      </c>
      <c r="J7">
        <v>1</v>
      </c>
      <c r="K7">
        <v>100</v>
      </c>
      <c r="L7">
        <v>1</v>
      </c>
      <c r="M7">
        <v>1</v>
      </c>
    </row>
    <row r="8" spans="1:13" x14ac:dyDescent="0.3">
      <c r="A8">
        <v>3</v>
      </c>
      <c r="B8" s="4" t="s">
        <v>6</v>
      </c>
      <c r="C8" s="4" t="s">
        <v>7</v>
      </c>
      <c r="D8" s="1">
        <v>41</v>
      </c>
      <c r="E8" t="s">
        <v>8</v>
      </c>
      <c r="F8">
        <v>1</v>
      </c>
      <c r="G8">
        <v>0.33</v>
      </c>
      <c r="H8">
        <v>1</v>
      </c>
      <c r="I8">
        <v>100</v>
      </c>
      <c r="J8">
        <v>1</v>
      </c>
      <c r="K8">
        <v>100</v>
      </c>
      <c r="L8">
        <v>1</v>
      </c>
      <c r="M8">
        <v>1</v>
      </c>
    </row>
    <row r="9" spans="1:13" x14ac:dyDescent="0.3">
      <c r="A9">
        <v>4</v>
      </c>
      <c r="B9" s="4" t="s">
        <v>9</v>
      </c>
      <c r="C9" s="4" t="s">
        <v>10</v>
      </c>
      <c r="D9" s="1">
        <v>20</v>
      </c>
      <c r="E9" t="s">
        <v>11</v>
      </c>
      <c r="F9">
        <v>0</v>
      </c>
      <c r="G9">
        <v>0</v>
      </c>
      <c r="H9">
        <v>0</v>
      </c>
      <c r="I9">
        <v>0</v>
      </c>
      <c r="J9">
        <v>0</v>
      </c>
      <c r="K9">
        <v>0</v>
      </c>
      <c r="L9">
        <v>0</v>
      </c>
      <c r="M9">
        <v>0</v>
      </c>
    </row>
    <row r="10" spans="1:13" x14ac:dyDescent="0.3">
      <c r="A10">
        <v>5</v>
      </c>
      <c r="B10" s="4" t="s">
        <v>12</v>
      </c>
      <c r="C10" s="4" t="s">
        <v>13</v>
      </c>
      <c r="D10" s="1">
        <v>22</v>
      </c>
      <c r="E10" t="s">
        <v>14</v>
      </c>
      <c r="F10">
        <v>0</v>
      </c>
      <c r="G10">
        <v>0</v>
      </c>
      <c r="H10">
        <v>0</v>
      </c>
      <c r="I10">
        <v>0</v>
      </c>
      <c r="J10">
        <v>0</v>
      </c>
      <c r="K10">
        <v>0</v>
      </c>
      <c r="L10">
        <v>0</v>
      </c>
      <c r="M10">
        <v>0</v>
      </c>
    </row>
    <row r="11" spans="1:13" x14ac:dyDescent="0.3">
      <c r="A11">
        <v>6</v>
      </c>
      <c r="B11" s="4" t="s">
        <v>15</v>
      </c>
      <c r="C11" s="4" t="s">
        <v>16</v>
      </c>
      <c r="D11" s="1">
        <v>25</v>
      </c>
      <c r="E11" t="s">
        <v>17</v>
      </c>
      <c r="F11">
        <v>0</v>
      </c>
      <c r="G11">
        <v>0</v>
      </c>
      <c r="H11">
        <v>0</v>
      </c>
      <c r="I11">
        <v>0</v>
      </c>
      <c r="J11">
        <v>0</v>
      </c>
      <c r="K11">
        <v>0</v>
      </c>
      <c r="L11">
        <v>0</v>
      </c>
      <c r="M11">
        <v>0</v>
      </c>
    </row>
    <row r="12" spans="1:13" x14ac:dyDescent="0.3">
      <c r="A12">
        <v>7</v>
      </c>
      <c r="B12" s="4" t="s">
        <v>18</v>
      </c>
      <c r="C12" s="4" t="s">
        <v>19</v>
      </c>
      <c r="D12" s="1">
        <v>25</v>
      </c>
      <c r="E12" t="s">
        <v>20</v>
      </c>
      <c r="F12">
        <v>1</v>
      </c>
      <c r="G12">
        <v>0.33</v>
      </c>
      <c r="H12">
        <v>1</v>
      </c>
      <c r="I12">
        <v>100</v>
      </c>
      <c r="J12">
        <v>1</v>
      </c>
      <c r="K12">
        <v>100</v>
      </c>
      <c r="L12">
        <v>1</v>
      </c>
      <c r="M12">
        <v>1</v>
      </c>
    </row>
    <row r="13" spans="1:13" x14ac:dyDescent="0.3">
      <c r="A13">
        <v>8</v>
      </c>
      <c r="B13" s="4" t="s">
        <v>21</v>
      </c>
      <c r="C13" s="4" t="s">
        <v>22</v>
      </c>
      <c r="D13" s="1">
        <v>25</v>
      </c>
      <c r="E13" t="s">
        <v>23</v>
      </c>
      <c r="F13">
        <v>1</v>
      </c>
      <c r="G13">
        <v>0.33</v>
      </c>
      <c r="H13">
        <v>1</v>
      </c>
      <c r="I13">
        <v>100</v>
      </c>
      <c r="J13">
        <v>1</v>
      </c>
      <c r="K13">
        <v>100</v>
      </c>
      <c r="L13">
        <v>1</v>
      </c>
      <c r="M13">
        <v>1</v>
      </c>
    </row>
    <row r="14" spans="1:13" x14ac:dyDescent="0.3">
      <c r="A14">
        <v>9</v>
      </c>
      <c r="B14" s="4" t="s">
        <v>24</v>
      </c>
      <c r="C14" s="4" t="s">
        <v>25</v>
      </c>
      <c r="D14" s="1">
        <v>28</v>
      </c>
      <c r="E14" t="s">
        <v>26</v>
      </c>
      <c r="F14">
        <v>1</v>
      </c>
      <c r="G14">
        <v>0.5</v>
      </c>
      <c r="H14">
        <v>1</v>
      </c>
      <c r="I14">
        <v>100</v>
      </c>
      <c r="J14">
        <v>1</v>
      </c>
      <c r="K14">
        <v>100</v>
      </c>
      <c r="L14">
        <v>1</v>
      </c>
      <c r="M14">
        <v>1</v>
      </c>
    </row>
    <row r="15" spans="1:13" x14ac:dyDescent="0.3">
      <c r="A15">
        <v>10</v>
      </c>
      <c r="B15" s="4" t="s">
        <v>27</v>
      </c>
      <c r="C15" s="4" t="s">
        <v>28</v>
      </c>
      <c r="D15" s="1">
        <v>41</v>
      </c>
      <c r="E15" t="s">
        <v>29</v>
      </c>
      <c r="F15">
        <v>1</v>
      </c>
      <c r="G15">
        <v>0.33</v>
      </c>
      <c r="H15">
        <v>1</v>
      </c>
      <c r="I15">
        <v>100</v>
      </c>
      <c r="J15">
        <v>1</v>
      </c>
      <c r="K15">
        <v>100</v>
      </c>
      <c r="L15">
        <v>1</v>
      </c>
      <c r="M15">
        <v>1</v>
      </c>
    </row>
    <row r="16" spans="1:13" x14ac:dyDescent="0.3">
      <c r="A16">
        <v>11</v>
      </c>
      <c r="B16" s="4" t="s">
        <v>30</v>
      </c>
      <c r="C16" s="4" t="s">
        <v>31</v>
      </c>
      <c r="D16" s="1">
        <v>33</v>
      </c>
      <c r="E16" t="s">
        <v>32</v>
      </c>
      <c r="F16">
        <v>1</v>
      </c>
      <c r="G16">
        <v>0.33</v>
      </c>
      <c r="H16">
        <v>1</v>
      </c>
      <c r="I16">
        <v>100</v>
      </c>
      <c r="J16">
        <v>1</v>
      </c>
      <c r="K16">
        <v>100</v>
      </c>
      <c r="L16">
        <v>1</v>
      </c>
      <c r="M16">
        <v>1</v>
      </c>
    </row>
    <row r="17" spans="1:13" x14ac:dyDescent="0.3">
      <c r="A17">
        <v>12</v>
      </c>
      <c r="B17" s="4" t="s">
        <v>33</v>
      </c>
      <c r="C17" s="4" t="s">
        <v>34</v>
      </c>
      <c r="D17" s="1">
        <v>37</v>
      </c>
      <c r="E17" t="s">
        <v>35</v>
      </c>
      <c r="F17">
        <v>1</v>
      </c>
      <c r="G17">
        <v>0.5</v>
      </c>
      <c r="H17">
        <v>1</v>
      </c>
      <c r="I17">
        <v>100</v>
      </c>
      <c r="J17">
        <v>1</v>
      </c>
      <c r="K17">
        <v>100</v>
      </c>
      <c r="L17">
        <v>1</v>
      </c>
      <c r="M17">
        <v>1</v>
      </c>
    </row>
    <row r="18" spans="1:13" x14ac:dyDescent="0.3">
      <c r="A18">
        <v>13</v>
      </c>
      <c r="B18" s="4" t="s">
        <v>36</v>
      </c>
      <c r="C18" s="4" t="s">
        <v>37</v>
      </c>
      <c r="D18" s="1">
        <v>38</v>
      </c>
      <c r="E18" t="s">
        <v>38</v>
      </c>
      <c r="F18">
        <v>1</v>
      </c>
      <c r="G18">
        <v>0.5</v>
      </c>
      <c r="H18">
        <v>1</v>
      </c>
      <c r="I18">
        <v>100</v>
      </c>
      <c r="J18">
        <v>1</v>
      </c>
      <c r="K18">
        <v>100</v>
      </c>
      <c r="L18">
        <v>1</v>
      </c>
      <c r="M18">
        <v>1</v>
      </c>
    </row>
    <row r="19" spans="1:13" x14ac:dyDescent="0.3">
      <c r="A19">
        <v>14</v>
      </c>
      <c r="B19" s="4" t="s">
        <v>39</v>
      </c>
      <c r="C19" s="4" t="s">
        <v>40</v>
      </c>
      <c r="D19" s="1">
        <v>52</v>
      </c>
      <c r="E19" t="s">
        <v>41</v>
      </c>
      <c r="F19">
        <v>1</v>
      </c>
      <c r="G19">
        <v>0.33</v>
      </c>
      <c r="H19">
        <v>1</v>
      </c>
      <c r="I19">
        <v>100</v>
      </c>
      <c r="J19">
        <v>1</v>
      </c>
      <c r="K19">
        <v>100</v>
      </c>
      <c r="L19">
        <v>1</v>
      </c>
      <c r="M19">
        <v>1</v>
      </c>
    </row>
    <row r="20" spans="1:13" x14ac:dyDescent="0.3">
      <c r="A20">
        <v>15</v>
      </c>
      <c r="B20" s="4" t="s">
        <v>42</v>
      </c>
      <c r="C20" s="4" t="s">
        <v>43</v>
      </c>
      <c r="D20" s="1">
        <v>48</v>
      </c>
      <c r="E20" t="s">
        <v>44</v>
      </c>
      <c r="F20">
        <v>1</v>
      </c>
      <c r="G20">
        <v>0.33</v>
      </c>
      <c r="H20">
        <v>1</v>
      </c>
      <c r="I20">
        <v>100</v>
      </c>
      <c r="J20">
        <v>0</v>
      </c>
      <c r="K20">
        <v>0</v>
      </c>
      <c r="L20">
        <v>3</v>
      </c>
      <c r="M20">
        <v>0.33</v>
      </c>
    </row>
    <row r="21" spans="1:13" x14ac:dyDescent="0.3">
      <c r="A21">
        <v>16</v>
      </c>
      <c r="B21" s="4" t="s">
        <v>45</v>
      </c>
      <c r="C21" s="4" t="s">
        <v>46</v>
      </c>
      <c r="D21" s="1">
        <v>48</v>
      </c>
      <c r="E21" t="s">
        <v>47</v>
      </c>
      <c r="F21">
        <v>1</v>
      </c>
      <c r="G21">
        <v>0.33</v>
      </c>
      <c r="H21">
        <v>1</v>
      </c>
      <c r="I21">
        <v>100</v>
      </c>
      <c r="J21">
        <v>1</v>
      </c>
      <c r="K21">
        <v>100</v>
      </c>
      <c r="L21">
        <v>1</v>
      </c>
      <c r="M21">
        <v>1</v>
      </c>
    </row>
    <row r="22" spans="1:13" x14ac:dyDescent="0.3">
      <c r="A22">
        <v>17</v>
      </c>
      <c r="B22" s="4" t="s">
        <v>48</v>
      </c>
      <c r="C22" s="4" t="s">
        <v>49</v>
      </c>
      <c r="D22" s="1">
        <v>78</v>
      </c>
      <c r="E22" t="s">
        <v>50</v>
      </c>
      <c r="F22">
        <v>0</v>
      </c>
      <c r="G22">
        <v>0</v>
      </c>
      <c r="H22">
        <v>0</v>
      </c>
      <c r="I22">
        <v>0</v>
      </c>
      <c r="J22">
        <v>0</v>
      </c>
      <c r="K22">
        <v>0</v>
      </c>
      <c r="L22">
        <v>0</v>
      </c>
      <c r="M22">
        <v>0</v>
      </c>
    </row>
    <row r="23" spans="1:13" x14ac:dyDescent="0.3">
      <c r="A23">
        <v>18</v>
      </c>
      <c r="B23" s="4" t="s">
        <v>51</v>
      </c>
      <c r="C23" s="4" t="s">
        <v>52</v>
      </c>
      <c r="D23" s="1" t="s">
        <v>53</v>
      </c>
      <c r="E23" t="s">
        <v>54</v>
      </c>
      <c r="F23">
        <v>2</v>
      </c>
      <c r="G23">
        <v>0.66</v>
      </c>
      <c r="H23">
        <v>1</v>
      </c>
      <c r="I23">
        <v>100</v>
      </c>
      <c r="J23">
        <v>1</v>
      </c>
      <c r="K23">
        <v>100</v>
      </c>
      <c r="L23">
        <v>1</v>
      </c>
      <c r="M23">
        <v>1</v>
      </c>
    </row>
    <row r="24" spans="1:13" x14ac:dyDescent="0.3">
      <c r="A24">
        <v>19</v>
      </c>
      <c r="B24" s="4" t="s">
        <v>55</v>
      </c>
      <c r="C24" s="4" t="s">
        <v>56</v>
      </c>
      <c r="D24" s="1">
        <v>58</v>
      </c>
      <c r="E24" t="s">
        <v>57</v>
      </c>
      <c r="F24">
        <v>0</v>
      </c>
      <c r="G24">
        <v>0</v>
      </c>
      <c r="H24">
        <v>0</v>
      </c>
      <c r="I24">
        <v>0</v>
      </c>
      <c r="J24">
        <v>0</v>
      </c>
      <c r="K24">
        <v>0</v>
      </c>
      <c r="L24">
        <v>0</v>
      </c>
      <c r="M24">
        <v>0</v>
      </c>
    </row>
    <row r="25" spans="1:13" x14ac:dyDescent="0.3">
      <c r="A25">
        <v>20</v>
      </c>
      <c r="B25" s="4" t="s">
        <v>58</v>
      </c>
      <c r="C25" s="4" t="s">
        <v>59</v>
      </c>
      <c r="D25" s="1">
        <v>47</v>
      </c>
      <c r="E25" t="s">
        <v>60</v>
      </c>
      <c r="F25">
        <v>1</v>
      </c>
      <c r="G25">
        <v>0.33</v>
      </c>
      <c r="H25">
        <v>1</v>
      </c>
      <c r="I25">
        <v>100</v>
      </c>
      <c r="J25">
        <v>0</v>
      </c>
      <c r="K25">
        <v>0</v>
      </c>
      <c r="L25">
        <v>3</v>
      </c>
      <c r="M25">
        <v>0.33</v>
      </c>
    </row>
    <row r="26" spans="1:13" x14ac:dyDescent="0.3">
      <c r="A26">
        <v>21</v>
      </c>
      <c r="B26" s="4" t="s">
        <v>61</v>
      </c>
      <c r="C26" s="4" t="s">
        <v>62</v>
      </c>
      <c r="D26" s="1">
        <v>68</v>
      </c>
      <c r="E26" t="s">
        <v>63</v>
      </c>
      <c r="F26">
        <v>1</v>
      </c>
      <c r="G26">
        <v>0.33</v>
      </c>
      <c r="H26">
        <v>1</v>
      </c>
      <c r="I26">
        <v>100</v>
      </c>
      <c r="J26">
        <v>1</v>
      </c>
      <c r="K26">
        <v>100</v>
      </c>
      <c r="L26">
        <v>1</v>
      </c>
      <c r="M26">
        <v>1</v>
      </c>
    </row>
    <row r="27" spans="1:13" x14ac:dyDescent="0.3">
      <c r="A27">
        <v>22</v>
      </c>
      <c r="B27" s="4" t="s">
        <v>64</v>
      </c>
      <c r="C27" s="4" t="s">
        <v>65</v>
      </c>
      <c r="D27" s="1">
        <v>67</v>
      </c>
      <c r="E27" t="s">
        <v>66</v>
      </c>
      <c r="F27">
        <v>1</v>
      </c>
      <c r="G27">
        <v>0.33</v>
      </c>
      <c r="H27">
        <v>1</v>
      </c>
      <c r="I27">
        <v>100</v>
      </c>
      <c r="J27">
        <v>1</v>
      </c>
      <c r="K27">
        <v>100</v>
      </c>
      <c r="L27">
        <v>1</v>
      </c>
      <c r="M27">
        <v>1</v>
      </c>
    </row>
    <row r="28" spans="1:13" x14ac:dyDescent="0.3">
      <c r="A28">
        <v>23</v>
      </c>
      <c r="B28" s="4" t="s">
        <v>67</v>
      </c>
      <c r="C28" s="4" t="s">
        <v>68</v>
      </c>
      <c r="D28" s="1">
        <v>64</v>
      </c>
      <c r="E28" s="3">
        <v>64149</v>
      </c>
      <c r="F28">
        <v>1</v>
      </c>
      <c r="G28">
        <v>0.5</v>
      </c>
      <c r="H28">
        <v>1</v>
      </c>
      <c r="I28">
        <v>100</v>
      </c>
      <c r="J28">
        <v>1</v>
      </c>
      <c r="K28">
        <v>100</v>
      </c>
      <c r="L28">
        <v>1</v>
      </c>
      <c r="M28">
        <v>1</v>
      </c>
    </row>
    <row r="29" spans="1:13" x14ac:dyDescent="0.3">
      <c r="A29">
        <v>24</v>
      </c>
      <c r="B29" s="4" t="s">
        <v>69</v>
      </c>
      <c r="C29" s="4" t="s">
        <v>70</v>
      </c>
      <c r="D29" s="1">
        <v>63</v>
      </c>
      <c r="E29" t="s">
        <v>71</v>
      </c>
      <c r="F29">
        <v>1</v>
      </c>
      <c r="G29">
        <v>0.33</v>
      </c>
      <c r="H29">
        <v>1</v>
      </c>
      <c r="I29">
        <v>100</v>
      </c>
      <c r="J29">
        <v>1</v>
      </c>
      <c r="K29">
        <v>100</v>
      </c>
      <c r="L29">
        <v>1</v>
      </c>
      <c r="M29">
        <v>1</v>
      </c>
    </row>
    <row r="30" spans="1:13" x14ac:dyDescent="0.3">
      <c r="A30">
        <v>25</v>
      </c>
      <c r="B30" s="4" t="s">
        <v>72</v>
      </c>
      <c r="C30" s="4" t="s">
        <v>73</v>
      </c>
      <c r="D30" s="1">
        <v>69</v>
      </c>
      <c r="E30" t="s">
        <v>74</v>
      </c>
      <c r="F30">
        <v>1</v>
      </c>
      <c r="G30">
        <v>0.5</v>
      </c>
      <c r="H30">
        <v>1</v>
      </c>
      <c r="I30">
        <v>100</v>
      </c>
      <c r="J30">
        <v>1</v>
      </c>
      <c r="K30">
        <v>100</v>
      </c>
      <c r="L30">
        <v>1</v>
      </c>
      <c r="M30">
        <v>1</v>
      </c>
    </row>
    <row r="31" spans="1:13" x14ac:dyDescent="0.3">
      <c r="A31">
        <v>26</v>
      </c>
      <c r="B31" s="4" t="s">
        <v>75</v>
      </c>
      <c r="C31" s="4" t="s">
        <v>76</v>
      </c>
      <c r="D31" s="1" t="s">
        <v>77</v>
      </c>
      <c r="E31" t="s">
        <v>78</v>
      </c>
      <c r="F31">
        <v>2</v>
      </c>
      <c r="G31">
        <v>0.66</v>
      </c>
      <c r="H31">
        <v>1</v>
      </c>
      <c r="I31">
        <v>100</v>
      </c>
      <c r="J31">
        <v>1</v>
      </c>
      <c r="K31">
        <v>100</v>
      </c>
      <c r="L31">
        <v>1</v>
      </c>
      <c r="M31">
        <v>1</v>
      </c>
    </row>
    <row r="32" spans="1:13" x14ac:dyDescent="0.3">
      <c r="A32">
        <v>27</v>
      </c>
      <c r="B32" s="4" t="s">
        <v>79</v>
      </c>
      <c r="C32" s="4" t="s">
        <v>80</v>
      </c>
      <c r="D32" s="1">
        <v>71</v>
      </c>
      <c r="E32" t="s">
        <v>81</v>
      </c>
      <c r="F32">
        <v>1</v>
      </c>
      <c r="G32">
        <v>0.33</v>
      </c>
      <c r="H32">
        <v>1</v>
      </c>
      <c r="I32">
        <v>100</v>
      </c>
      <c r="J32">
        <v>0</v>
      </c>
      <c r="K32">
        <v>0</v>
      </c>
      <c r="L32">
        <v>3</v>
      </c>
      <c r="M32">
        <v>0.33</v>
      </c>
    </row>
    <row r="33" spans="1:13" x14ac:dyDescent="0.3">
      <c r="A33">
        <v>28</v>
      </c>
      <c r="B33" s="4" t="s">
        <v>82</v>
      </c>
      <c r="C33" s="4" t="s">
        <v>83</v>
      </c>
      <c r="D33" s="1" t="s">
        <v>84</v>
      </c>
      <c r="E33" t="s">
        <v>85</v>
      </c>
      <c r="F33">
        <v>1</v>
      </c>
      <c r="G33">
        <v>0.33</v>
      </c>
      <c r="H33">
        <v>1</v>
      </c>
      <c r="I33">
        <v>100</v>
      </c>
      <c r="J33">
        <v>1</v>
      </c>
      <c r="K33">
        <v>100</v>
      </c>
      <c r="L33">
        <v>1</v>
      </c>
      <c r="M33">
        <v>1</v>
      </c>
    </row>
    <row r="34" spans="1:13" x14ac:dyDescent="0.3">
      <c r="A34">
        <v>29</v>
      </c>
      <c r="B34" s="4" t="s">
        <v>86</v>
      </c>
      <c r="C34" s="4" t="s">
        <v>87</v>
      </c>
      <c r="D34" s="1">
        <v>73</v>
      </c>
      <c r="E34" t="s">
        <v>88</v>
      </c>
      <c r="F34">
        <v>1</v>
      </c>
      <c r="G34">
        <v>0.33</v>
      </c>
      <c r="H34">
        <v>1</v>
      </c>
      <c r="I34">
        <v>100</v>
      </c>
      <c r="J34">
        <v>1</v>
      </c>
      <c r="K34">
        <v>100</v>
      </c>
      <c r="L34">
        <v>1</v>
      </c>
      <c r="M34">
        <v>1</v>
      </c>
    </row>
    <row r="35" spans="1:13" x14ac:dyDescent="0.3">
      <c r="A35">
        <v>30</v>
      </c>
      <c r="B35" s="4" t="s">
        <v>89</v>
      </c>
      <c r="C35" s="4" t="s">
        <v>90</v>
      </c>
      <c r="D35" s="1">
        <v>75</v>
      </c>
      <c r="E35" t="s">
        <v>91</v>
      </c>
      <c r="F35">
        <v>0</v>
      </c>
      <c r="G35">
        <v>0</v>
      </c>
      <c r="H35">
        <v>0</v>
      </c>
      <c r="I35">
        <v>0</v>
      </c>
      <c r="J35">
        <v>0</v>
      </c>
      <c r="K35">
        <v>0</v>
      </c>
      <c r="L35">
        <v>0</v>
      </c>
      <c r="M35">
        <v>0</v>
      </c>
    </row>
    <row r="36" spans="1:13" x14ac:dyDescent="0.3">
      <c r="A36">
        <v>31</v>
      </c>
      <c r="B36" s="4" t="s">
        <v>92</v>
      </c>
      <c r="C36" s="4" t="s">
        <v>93</v>
      </c>
      <c r="D36" s="1">
        <v>14</v>
      </c>
      <c r="E36" t="s">
        <v>94</v>
      </c>
      <c r="F36">
        <v>1</v>
      </c>
      <c r="G36">
        <v>0.33</v>
      </c>
      <c r="H36">
        <v>1</v>
      </c>
      <c r="I36">
        <v>100</v>
      </c>
      <c r="J36">
        <v>1</v>
      </c>
      <c r="K36">
        <v>100</v>
      </c>
      <c r="L36">
        <v>1</v>
      </c>
      <c r="M36">
        <v>1</v>
      </c>
    </row>
    <row r="37" spans="1:13" x14ac:dyDescent="0.3">
      <c r="A37">
        <v>32</v>
      </c>
      <c r="B37" s="4" t="s">
        <v>95</v>
      </c>
      <c r="C37" s="4" t="s">
        <v>96</v>
      </c>
      <c r="D37" s="1">
        <v>14</v>
      </c>
      <c r="E37" t="s">
        <v>97</v>
      </c>
      <c r="F37">
        <v>1</v>
      </c>
      <c r="G37">
        <v>0.33</v>
      </c>
      <c r="H37">
        <v>1</v>
      </c>
      <c r="I37">
        <v>100</v>
      </c>
      <c r="J37">
        <v>0</v>
      </c>
      <c r="K37">
        <v>0</v>
      </c>
      <c r="L37">
        <v>2</v>
      </c>
      <c r="M37">
        <v>0.5</v>
      </c>
    </row>
    <row r="38" spans="1:13" x14ac:dyDescent="0.3">
      <c r="A38">
        <v>33</v>
      </c>
      <c r="B38" s="4" t="s">
        <v>98</v>
      </c>
      <c r="C38" s="4" t="s">
        <v>99</v>
      </c>
      <c r="D38" s="1">
        <v>77</v>
      </c>
      <c r="E38" t="s">
        <v>100</v>
      </c>
      <c r="F38">
        <v>1</v>
      </c>
      <c r="G38">
        <v>0.33</v>
      </c>
      <c r="H38">
        <v>1</v>
      </c>
      <c r="I38">
        <v>100</v>
      </c>
      <c r="J38">
        <v>0</v>
      </c>
      <c r="K38">
        <v>0</v>
      </c>
      <c r="L38">
        <v>3</v>
      </c>
      <c r="M38">
        <v>0.33</v>
      </c>
    </row>
    <row r="39" spans="1:13" x14ac:dyDescent="0.3">
      <c r="A39">
        <v>34</v>
      </c>
      <c r="B39" s="4" t="s">
        <v>101</v>
      </c>
      <c r="C39" s="4" t="s">
        <v>102</v>
      </c>
      <c r="D39" s="1">
        <v>77</v>
      </c>
      <c r="E39" t="s">
        <v>103</v>
      </c>
      <c r="F39">
        <v>1</v>
      </c>
      <c r="G39">
        <v>0.33</v>
      </c>
      <c r="H39">
        <v>1</v>
      </c>
      <c r="I39">
        <v>100</v>
      </c>
      <c r="J39">
        <v>0</v>
      </c>
      <c r="K39">
        <v>0</v>
      </c>
      <c r="L39">
        <v>3</v>
      </c>
      <c r="M39">
        <v>0.33</v>
      </c>
    </row>
    <row r="40" spans="1:13" x14ac:dyDescent="0.3">
      <c r="A40">
        <v>35</v>
      </c>
      <c r="B40" s="4" t="s">
        <v>104</v>
      </c>
      <c r="C40" s="4" t="s">
        <v>105</v>
      </c>
      <c r="D40" s="1">
        <v>81</v>
      </c>
      <c r="E40" t="s">
        <v>106</v>
      </c>
      <c r="F40">
        <v>1</v>
      </c>
      <c r="G40">
        <v>0.33</v>
      </c>
      <c r="H40">
        <v>1</v>
      </c>
      <c r="I40">
        <v>100</v>
      </c>
      <c r="J40">
        <v>1</v>
      </c>
      <c r="K40">
        <v>100</v>
      </c>
      <c r="L40">
        <v>1</v>
      </c>
      <c r="M40">
        <v>1</v>
      </c>
    </row>
    <row r="41" spans="1:13" x14ac:dyDescent="0.3">
      <c r="A41">
        <v>36</v>
      </c>
      <c r="B41" s="4" t="s">
        <v>107</v>
      </c>
      <c r="C41" s="4" t="s">
        <v>108</v>
      </c>
      <c r="D41" s="1">
        <v>90</v>
      </c>
      <c r="E41" t="s">
        <v>109</v>
      </c>
      <c r="F41">
        <v>1</v>
      </c>
      <c r="G41">
        <v>0.5</v>
      </c>
      <c r="H41">
        <v>1</v>
      </c>
      <c r="I41">
        <v>100</v>
      </c>
      <c r="J41">
        <v>1</v>
      </c>
      <c r="K41">
        <v>100</v>
      </c>
      <c r="L41">
        <v>1</v>
      </c>
      <c r="M41">
        <v>1</v>
      </c>
    </row>
    <row r="42" spans="1:13" x14ac:dyDescent="0.3">
      <c r="A42">
        <v>37</v>
      </c>
      <c r="B42" s="4" t="s">
        <v>110</v>
      </c>
      <c r="C42" s="4" t="s">
        <v>111</v>
      </c>
      <c r="D42" s="1">
        <v>95</v>
      </c>
      <c r="E42" t="s">
        <v>112</v>
      </c>
      <c r="F42">
        <v>1</v>
      </c>
      <c r="G42">
        <v>0.5</v>
      </c>
      <c r="H42">
        <v>1</v>
      </c>
      <c r="I42">
        <v>100</v>
      </c>
      <c r="J42">
        <v>1</v>
      </c>
      <c r="K42">
        <v>100</v>
      </c>
      <c r="L42">
        <v>1</v>
      </c>
      <c r="M42">
        <v>1</v>
      </c>
    </row>
    <row r="43" spans="1:13" x14ac:dyDescent="0.3">
      <c r="A43">
        <v>38</v>
      </c>
      <c r="B43" s="4" t="s">
        <v>113</v>
      </c>
      <c r="C43" s="4" t="s">
        <v>114</v>
      </c>
      <c r="D43" s="1">
        <v>100</v>
      </c>
      <c r="E43" t="s">
        <v>115</v>
      </c>
      <c r="F43">
        <v>1</v>
      </c>
      <c r="G43">
        <v>0.33</v>
      </c>
      <c r="H43">
        <v>1</v>
      </c>
      <c r="I43">
        <v>100</v>
      </c>
      <c r="J43">
        <v>1</v>
      </c>
      <c r="K43">
        <v>100</v>
      </c>
      <c r="L43">
        <v>1</v>
      </c>
      <c r="M43">
        <v>1</v>
      </c>
    </row>
    <row r="44" spans="1:13" x14ac:dyDescent="0.3">
      <c r="A44">
        <v>39</v>
      </c>
      <c r="B44" s="4" t="s">
        <v>116</v>
      </c>
      <c r="C44" s="4" t="s">
        <v>117</v>
      </c>
      <c r="D44" s="1">
        <v>104</v>
      </c>
      <c r="E44" t="s">
        <v>118</v>
      </c>
      <c r="F44">
        <v>1</v>
      </c>
      <c r="G44">
        <v>0.5</v>
      </c>
      <c r="H44">
        <v>1</v>
      </c>
      <c r="I44">
        <v>100</v>
      </c>
      <c r="J44">
        <v>1</v>
      </c>
      <c r="K44">
        <v>100</v>
      </c>
      <c r="L44">
        <v>1</v>
      </c>
      <c r="M44">
        <v>1</v>
      </c>
    </row>
    <row r="45" spans="1:13" x14ac:dyDescent="0.3">
      <c r="A45">
        <v>40</v>
      </c>
      <c r="B45" s="4" t="s">
        <v>119</v>
      </c>
      <c r="C45" s="4" t="s">
        <v>120</v>
      </c>
      <c r="D45" s="1">
        <v>112</v>
      </c>
      <c r="E45" t="s">
        <v>121</v>
      </c>
      <c r="F45">
        <v>1</v>
      </c>
      <c r="G45">
        <v>0.33</v>
      </c>
      <c r="H45">
        <v>1</v>
      </c>
      <c r="I45">
        <v>100</v>
      </c>
      <c r="J45">
        <v>0</v>
      </c>
      <c r="K45">
        <v>0</v>
      </c>
      <c r="L45">
        <v>2</v>
      </c>
      <c r="M45">
        <v>0.5</v>
      </c>
    </row>
    <row r="46" spans="1:13" x14ac:dyDescent="0.3">
      <c r="A46">
        <v>41</v>
      </c>
      <c r="B46" s="4" t="s">
        <v>122</v>
      </c>
      <c r="C46" s="4" t="s">
        <v>123</v>
      </c>
      <c r="D46" s="1">
        <v>113</v>
      </c>
      <c r="E46" t="s">
        <v>124</v>
      </c>
      <c r="F46">
        <v>0</v>
      </c>
      <c r="G46">
        <v>0</v>
      </c>
      <c r="H46">
        <v>0</v>
      </c>
      <c r="I46">
        <v>0</v>
      </c>
      <c r="J46">
        <v>0</v>
      </c>
      <c r="K46">
        <v>0</v>
      </c>
      <c r="L46">
        <v>0</v>
      </c>
      <c r="M46">
        <v>0</v>
      </c>
    </row>
    <row r="47" spans="1:13" x14ac:dyDescent="0.3">
      <c r="A47">
        <v>42</v>
      </c>
      <c r="B47" s="4" t="s">
        <v>125</v>
      </c>
      <c r="C47" s="4" t="s">
        <v>126</v>
      </c>
      <c r="D47" s="1">
        <v>116</v>
      </c>
      <c r="E47" t="s">
        <v>127</v>
      </c>
      <c r="F47">
        <v>0</v>
      </c>
      <c r="G47">
        <v>0</v>
      </c>
      <c r="H47">
        <v>0</v>
      </c>
      <c r="I47">
        <v>0</v>
      </c>
      <c r="J47">
        <v>0</v>
      </c>
      <c r="K47">
        <v>0</v>
      </c>
      <c r="L47">
        <v>0</v>
      </c>
      <c r="M47">
        <v>0</v>
      </c>
    </row>
    <row r="48" spans="1:13" x14ac:dyDescent="0.3">
      <c r="A48">
        <v>43</v>
      </c>
      <c r="B48" s="4" t="s">
        <v>128</v>
      </c>
      <c r="C48" s="4" t="s">
        <v>129</v>
      </c>
      <c r="D48" s="1" t="s">
        <v>130</v>
      </c>
      <c r="E48" t="s">
        <v>131</v>
      </c>
      <c r="F48">
        <v>2</v>
      </c>
      <c r="G48">
        <v>0.66</v>
      </c>
      <c r="H48">
        <v>1</v>
      </c>
      <c r="I48">
        <v>100</v>
      </c>
      <c r="J48">
        <v>0</v>
      </c>
      <c r="K48">
        <v>0</v>
      </c>
      <c r="L48">
        <v>2</v>
      </c>
      <c r="M48">
        <v>0.5</v>
      </c>
    </row>
    <row r="49" spans="1:13" x14ac:dyDescent="0.3">
      <c r="A49">
        <v>44</v>
      </c>
      <c r="B49" s="4" t="s">
        <v>132</v>
      </c>
      <c r="C49" s="4" t="s">
        <v>133</v>
      </c>
      <c r="D49" s="1">
        <v>124</v>
      </c>
      <c r="E49" t="s">
        <v>134</v>
      </c>
      <c r="F49">
        <v>1</v>
      </c>
      <c r="G49">
        <v>0.33</v>
      </c>
      <c r="H49">
        <v>1</v>
      </c>
      <c r="I49">
        <v>100</v>
      </c>
      <c r="J49">
        <v>0</v>
      </c>
      <c r="K49">
        <v>0</v>
      </c>
      <c r="L49">
        <v>2</v>
      </c>
      <c r="M49">
        <v>0.5</v>
      </c>
    </row>
    <row r="50" spans="1:13" x14ac:dyDescent="0.3">
      <c r="A50">
        <v>45</v>
      </c>
      <c r="B50" s="4" t="s">
        <v>135</v>
      </c>
      <c r="C50" s="4" t="s">
        <v>136</v>
      </c>
      <c r="D50" s="1">
        <v>134</v>
      </c>
      <c r="E50" t="s">
        <v>137</v>
      </c>
      <c r="F50">
        <v>1</v>
      </c>
      <c r="G50">
        <v>0.33</v>
      </c>
      <c r="H50">
        <v>1</v>
      </c>
      <c r="I50">
        <v>100</v>
      </c>
      <c r="J50">
        <v>1</v>
      </c>
      <c r="K50">
        <v>100</v>
      </c>
      <c r="L50">
        <v>1</v>
      </c>
      <c r="M50">
        <v>1</v>
      </c>
    </row>
    <row r="51" spans="1:13" x14ac:dyDescent="0.3">
      <c r="A51">
        <v>46</v>
      </c>
      <c r="B51" s="4" t="s">
        <v>138</v>
      </c>
      <c r="C51" s="4" t="s">
        <v>139</v>
      </c>
      <c r="D51" s="1">
        <v>137</v>
      </c>
      <c r="E51" t="s">
        <v>140</v>
      </c>
      <c r="F51">
        <v>1</v>
      </c>
      <c r="G51">
        <v>0.33</v>
      </c>
      <c r="H51">
        <v>1</v>
      </c>
      <c r="I51">
        <v>100</v>
      </c>
      <c r="J51">
        <v>1</v>
      </c>
      <c r="K51">
        <v>100</v>
      </c>
      <c r="L51">
        <v>1</v>
      </c>
      <c r="M51">
        <v>1</v>
      </c>
    </row>
    <row r="52" spans="1:13" x14ac:dyDescent="0.3">
      <c r="A52">
        <v>47</v>
      </c>
      <c r="B52" s="4" t="s">
        <v>141</v>
      </c>
      <c r="C52" s="4" t="s">
        <v>142</v>
      </c>
      <c r="D52" s="1">
        <v>142</v>
      </c>
      <c r="E52" s="3">
        <v>142117</v>
      </c>
      <c r="F52">
        <v>1</v>
      </c>
      <c r="G52">
        <v>0.5</v>
      </c>
      <c r="H52">
        <v>1</v>
      </c>
      <c r="I52">
        <v>100</v>
      </c>
      <c r="J52">
        <v>1</v>
      </c>
      <c r="K52">
        <v>100</v>
      </c>
      <c r="L52">
        <v>1</v>
      </c>
      <c r="M52">
        <v>1</v>
      </c>
    </row>
    <row r="53" spans="1:13" x14ac:dyDescent="0.3">
      <c r="A53">
        <v>48</v>
      </c>
      <c r="B53" s="4" t="s">
        <v>143</v>
      </c>
      <c r="C53" s="4" t="s">
        <v>144</v>
      </c>
      <c r="D53" s="1">
        <v>140</v>
      </c>
      <c r="E53" s="3">
        <v>140120</v>
      </c>
      <c r="F53">
        <v>1</v>
      </c>
      <c r="G53">
        <v>0.5</v>
      </c>
      <c r="H53">
        <v>1</v>
      </c>
      <c r="I53">
        <v>100</v>
      </c>
      <c r="J53">
        <v>1</v>
      </c>
      <c r="K53">
        <v>100</v>
      </c>
      <c r="L53">
        <v>1</v>
      </c>
      <c r="M53">
        <v>1</v>
      </c>
    </row>
    <row r="54" spans="1:13" x14ac:dyDescent="0.3">
      <c r="A54">
        <v>49</v>
      </c>
      <c r="B54" s="4" t="s">
        <v>141</v>
      </c>
      <c r="C54" s="4" t="s">
        <v>142</v>
      </c>
      <c r="D54" s="1">
        <v>142</v>
      </c>
      <c r="E54" s="3">
        <v>142117</v>
      </c>
      <c r="F54">
        <v>1</v>
      </c>
      <c r="G54">
        <v>0.5</v>
      </c>
      <c r="H54">
        <v>1</v>
      </c>
      <c r="I54">
        <v>100</v>
      </c>
      <c r="J54">
        <v>1</v>
      </c>
      <c r="K54">
        <v>100</v>
      </c>
      <c r="L54">
        <v>1</v>
      </c>
      <c r="M54">
        <v>1</v>
      </c>
    </row>
    <row r="55" spans="1:13" x14ac:dyDescent="0.3">
      <c r="A55">
        <v>50</v>
      </c>
      <c r="B55" s="4" t="s">
        <v>143</v>
      </c>
      <c r="C55" s="4" t="s">
        <v>144</v>
      </c>
      <c r="D55" s="1">
        <v>140</v>
      </c>
      <c r="E55" s="3">
        <v>140120</v>
      </c>
      <c r="F55">
        <v>1</v>
      </c>
      <c r="G55">
        <v>0.5</v>
      </c>
      <c r="H55">
        <v>1</v>
      </c>
      <c r="I55">
        <v>100</v>
      </c>
      <c r="J55">
        <v>1</v>
      </c>
      <c r="K55">
        <v>100</v>
      </c>
      <c r="L55">
        <v>1</v>
      </c>
      <c r="M5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2026-10-08T01:01:33Z</dcterms:created>
  <dcterms:modified xsi:type="dcterms:W3CDTF">2026-10-08T01:33:58Z</dcterms:modified>
</cp:coreProperties>
</file>